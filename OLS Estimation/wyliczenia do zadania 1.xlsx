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0" yWindow="0" windowWidth="4560" windowHeight="6120"/>
  </bookViews>
  <sheets>
    <sheet name="Data" sheetId="1" r:id="rId1"/>
  </sheets>
  <definedNames>
    <definedName name="_AMO_UniqueIdentifier" hidden="1">"'96731205-45be-4ff2-8969-6d17d17956a1'"</definedName>
  </definedNames>
  <calcPr calcId="125725"/>
</workbook>
</file>

<file path=xl/calcChain.xml><?xml version="1.0" encoding="utf-8"?>
<calcChain xmlns="http://schemas.openxmlformats.org/spreadsheetml/2006/main">
  <c r="K28" i="1"/>
  <c r="I34"/>
  <c r="H46"/>
  <c r="I35"/>
  <c r="F3"/>
  <c r="F4"/>
  <c r="F5"/>
  <c r="F6"/>
  <c r="F7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49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F78"/>
  <c r="F79"/>
  <c r="F80"/>
  <c r="F81"/>
  <c r="F82"/>
  <c r="F83"/>
  <c r="F84"/>
  <c r="F85"/>
  <c r="F86"/>
  <c r="F87"/>
  <c r="F88"/>
  <c r="F89"/>
  <c r="F90"/>
  <c r="F91"/>
  <c r="F92"/>
  <c r="F93"/>
  <c r="F94"/>
  <c r="F95"/>
  <c r="F96"/>
  <c r="F97"/>
  <c r="F98"/>
  <c r="F99"/>
  <c r="F100"/>
  <c r="F101"/>
  <c r="F102"/>
  <c r="F103"/>
  <c r="F104"/>
  <c r="F105"/>
  <c r="F106"/>
  <c r="F107"/>
  <c r="F108"/>
  <c r="F109"/>
  <c r="F110"/>
  <c r="F111"/>
  <c r="F112"/>
  <c r="F113"/>
  <c r="F114"/>
  <c r="F115"/>
  <c r="F116"/>
  <c r="F117"/>
  <c r="F118"/>
  <c r="F119"/>
  <c r="F120"/>
  <c r="F121"/>
  <c r="F122"/>
  <c r="F123"/>
  <c r="F124"/>
  <c r="F125"/>
  <c r="F126"/>
  <c r="F127"/>
  <c r="F128"/>
  <c r="F129"/>
  <c r="F130"/>
  <c r="F131"/>
  <c r="F132"/>
  <c r="F133"/>
  <c r="F134"/>
  <c r="F135"/>
  <c r="F136"/>
  <c r="F137"/>
  <c r="F138"/>
  <c r="F139"/>
  <c r="F140"/>
  <c r="F141"/>
  <c r="F142"/>
  <c r="F143"/>
  <c r="F144"/>
  <c r="F145"/>
  <c r="F146"/>
  <c r="F147"/>
  <c r="F148"/>
  <c r="F149"/>
  <c r="F150"/>
  <c r="F151"/>
  <c r="F152"/>
  <c r="F153"/>
  <c r="F154"/>
  <c r="F155"/>
  <c r="F156"/>
  <c r="F157"/>
  <c r="F158"/>
  <c r="F159"/>
  <c r="F160"/>
  <c r="F161"/>
  <c r="F162"/>
  <c r="F163"/>
  <c r="F164"/>
  <c r="F165"/>
  <c r="F166"/>
  <c r="F167"/>
  <c r="F168"/>
  <c r="F169"/>
  <c r="F170"/>
  <c r="F171"/>
  <c r="F172"/>
  <c r="F173"/>
  <c r="F174"/>
  <c r="F175"/>
  <c r="F176"/>
  <c r="F177"/>
  <c r="F178"/>
  <c r="F179"/>
  <c r="F180"/>
  <c r="F181"/>
  <c r="F182"/>
  <c r="F183"/>
  <c r="F184"/>
  <c r="F185"/>
  <c r="F186"/>
  <c r="F187"/>
  <c r="F188"/>
  <c r="F189"/>
  <c r="F190"/>
  <c r="F2"/>
  <c r="H43"/>
  <c r="J33"/>
  <c r="H29"/>
  <c r="I29" s="1"/>
  <c r="J27"/>
  <c r="H27"/>
  <c r="E3"/>
  <c r="E4"/>
  <c r="E5"/>
  <c r="E6"/>
  <c r="E7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47"/>
  <c r="E48"/>
  <c r="E49"/>
  <c r="E50"/>
  <c r="E51"/>
  <c r="E52"/>
  <c r="E53"/>
  <c r="E54"/>
  <c r="E55"/>
  <c r="E56"/>
  <c r="E57"/>
  <c r="E58"/>
  <c r="E59"/>
  <c r="E60"/>
  <c r="E61"/>
  <c r="E62"/>
  <c r="E63"/>
  <c r="E64"/>
  <c r="E65"/>
  <c r="E66"/>
  <c r="E67"/>
  <c r="E68"/>
  <c r="E69"/>
  <c r="E70"/>
  <c r="E71"/>
  <c r="E72"/>
  <c r="E73"/>
  <c r="E74"/>
  <c r="E75"/>
  <c r="E76"/>
  <c r="E77"/>
  <c r="E78"/>
  <c r="E79"/>
  <c r="E80"/>
  <c r="E81"/>
  <c r="E82"/>
  <c r="E83"/>
  <c r="E84"/>
  <c r="E85"/>
  <c r="E86"/>
  <c r="E87"/>
  <c r="E88"/>
  <c r="E89"/>
  <c r="E90"/>
  <c r="E91"/>
  <c r="E92"/>
  <c r="E93"/>
  <c r="E94"/>
  <c r="E95"/>
  <c r="E96"/>
  <c r="E97"/>
  <c r="E98"/>
  <c r="E99"/>
  <c r="E100"/>
  <c r="E101"/>
  <c r="E102"/>
  <c r="E103"/>
  <c r="E104"/>
  <c r="E105"/>
  <c r="E106"/>
  <c r="E107"/>
  <c r="E108"/>
  <c r="E109"/>
  <c r="E110"/>
  <c r="E111"/>
  <c r="E112"/>
  <c r="E113"/>
  <c r="E114"/>
  <c r="E115"/>
  <c r="E116"/>
  <c r="E117"/>
  <c r="E118"/>
  <c r="E119"/>
  <c r="E120"/>
  <c r="E121"/>
  <c r="E122"/>
  <c r="E123"/>
  <c r="E124"/>
  <c r="E125"/>
  <c r="E126"/>
  <c r="E127"/>
  <c r="E128"/>
  <c r="E129"/>
  <c r="E130"/>
  <c r="E131"/>
  <c r="E132"/>
  <c r="E133"/>
  <c r="E134"/>
  <c r="E135"/>
  <c r="E136"/>
  <c r="E137"/>
  <c r="E138"/>
  <c r="E139"/>
  <c r="E140"/>
  <c r="E141"/>
  <c r="E142"/>
  <c r="E143"/>
  <c r="E144"/>
  <c r="E145"/>
  <c r="E146"/>
  <c r="E147"/>
  <c r="E148"/>
  <c r="E149"/>
  <c r="E150"/>
  <c r="E151"/>
  <c r="E152"/>
  <c r="E153"/>
  <c r="E154"/>
  <c r="E155"/>
  <c r="E156"/>
  <c r="E157"/>
  <c r="E158"/>
  <c r="E159"/>
  <c r="E160"/>
  <c r="E161"/>
  <c r="E162"/>
  <c r="E163"/>
  <c r="E164"/>
  <c r="E165"/>
  <c r="E166"/>
  <c r="E167"/>
  <c r="E168"/>
  <c r="E169"/>
  <c r="E170"/>
  <c r="E171"/>
  <c r="E172"/>
  <c r="E173"/>
  <c r="E174"/>
  <c r="E175"/>
  <c r="E176"/>
  <c r="E177"/>
  <c r="E178"/>
  <c r="E179"/>
  <c r="E180"/>
  <c r="E181"/>
  <c r="E182"/>
  <c r="E183"/>
  <c r="E184"/>
  <c r="E185"/>
  <c r="E186"/>
  <c r="E187"/>
  <c r="E188"/>
  <c r="E189"/>
  <c r="E190"/>
  <c r="E2"/>
  <c r="D3"/>
  <c r="D4"/>
  <c r="D5"/>
  <c r="D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8"/>
  <c r="D39"/>
  <c r="D40"/>
  <c r="D41"/>
  <c r="D42"/>
  <c r="D43"/>
  <c r="D44"/>
  <c r="D45"/>
  <c r="D46"/>
  <c r="D47"/>
  <c r="D48"/>
  <c r="D49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68"/>
  <c r="D69"/>
  <c r="D70"/>
  <c r="D71"/>
  <c r="D72"/>
  <c r="D73"/>
  <c r="D74"/>
  <c r="D75"/>
  <c r="D76"/>
  <c r="D77"/>
  <c r="D78"/>
  <c r="D79"/>
  <c r="D80"/>
  <c r="D81"/>
  <c r="D82"/>
  <c r="D83"/>
  <c r="D84"/>
  <c r="D85"/>
  <c r="D86"/>
  <c r="D87"/>
  <c r="D88"/>
  <c r="D89"/>
  <c r="D90"/>
  <c r="D91"/>
  <c r="D92"/>
  <c r="D93"/>
  <c r="D94"/>
  <c r="D95"/>
  <c r="D96"/>
  <c r="D97"/>
  <c r="D98"/>
  <c r="D99"/>
  <c r="D100"/>
  <c r="D101"/>
  <c r="D102"/>
  <c r="D103"/>
  <c r="D104"/>
  <c r="D105"/>
  <c r="D106"/>
  <c r="D107"/>
  <c r="D108"/>
  <c r="D109"/>
  <c r="D110"/>
  <c r="D111"/>
  <c r="D112"/>
  <c r="D113"/>
  <c r="D114"/>
  <c r="D115"/>
  <c r="D116"/>
  <c r="D117"/>
  <c r="D118"/>
  <c r="D119"/>
  <c r="D120"/>
  <c r="D121"/>
  <c r="D122"/>
  <c r="D123"/>
  <c r="D124"/>
  <c r="D125"/>
  <c r="D126"/>
  <c r="D127"/>
  <c r="D128"/>
  <c r="D129"/>
  <c r="D130"/>
  <c r="D131"/>
  <c r="D132"/>
  <c r="D133"/>
  <c r="D134"/>
  <c r="D135"/>
  <c r="D136"/>
  <c r="D137"/>
  <c r="D138"/>
  <c r="D139"/>
  <c r="D140"/>
  <c r="D141"/>
  <c r="D142"/>
  <c r="D143"/>
  <c r="D144"/>
  <c r="D145"/>
  <c r="D146"/>
  <c r="D147"/>
  <c r="D148"/>
  <c r="D149"/>
  <c r="D150"/>
  <c r="D151"/>
  <c r="D152"/>
  <c r="D153"/>
  <c r="D154"/>
  <c r="D155"/>
  <c r="D156"/>
  <c r="D157"/>
  <c r="D158"/>
  <c r="D159"/>
  <c r="D160"/>
  <c r="D161"/>
  <c r="D162"/>
  <c r="D163"/>
  <c r="D164"/>
  <c r="D165"/>
  <c r="D166"/>
  <c r="D167"/>
  <c r="D168"/>
  <c r="D169"/>
  <c r="D170"/>
  <c r="D171"/>
  <c r="D172"/>
  <c r="D173"/>
  <c r="D174"/>
  <c r="D175"/>
  <c r="D176"/>
  <c r="D177"/>
  <c r="D178"/>
  <c r="D179"/>
  <c r="D180"/>
  <c r="D181"/>
  <c r="D182"/>
  <c r="D183"/>
  <c r="D184"/>
  <c r="D185"/>
  <c r="D186"/>
  <c r="D187"/>
  <c r="D188"/>
  <c r="D189"/>
  <c r="D190"/>
  <c r="D2"/>
</calcChain>
</file>

<file path=xl/sharedStrings.xml><?xml version="1.0" encoding="utf-8"?>
<sst xmlns="http://schemas.openxmlformats.org/spreadsheetml/2006/main" count="41" uniqueCount="39">
  <si>
    <t>LE</t>
  </si>
  <si>
    <t>PCI</t>
  </si>
  <si>
    <t>LPCI</t>
  </si>
  <si>
    <t>PODSUMOWANIE - WYJŚCIE</t>
  </si>
  <si>
    <t>Statystyki regresji</t>
  </si>
  <si>
    <t>Wielokrotność R</t>
  </si>
  <si>
    <t>R kwadrat</t>
  </si>
  <si>
    <t>Dopasowany R kwadrat</t>
  </si>
  <si>
    <t>Błąd standardowy</t>
  </si>
  <si>
    <t>Obserwacje</t>
  </si>
  <si>
    <t>ANALIZA WARIANCJI</t>
  </si>
  <si>
    <t>Regresja</t>
  </si>
  <si>
    <t>Resztkowy</t>
  </si>
  <si>
    <t>Razem</t>
  </si>
  <si>
    <t>Przecięcie</t>
  </si>
  <si>
    <t>df</t>
  </si>
  <si>
    <t>SS</t>
  </si>
  <si>
    <t>MS</t>
  </si>
  <si>
    <t>F</t>
  </si>
  <si>
    <t>Istotność F</t>
  </si>
  <si>
    <t>Współczynniki</t>
  </si>
  <si>
    <t>t Stat</t>
  </si>
  <si>
    <t>Wartość-p</t>
  </si>
  <si>
    <t>Dolne 95%</t>
  </si>
  <si>
    <t>Górne 95%</t>
  </si>
  <si>
    <t>Dolne 95,0%</t>
  </si>
  <si>
    <t>Górne 95,0%</t>
  </si>
  <si>
    <t>Yp</t>
  </si>
  <si>
    <t>e^2</t>
  </si>
  <si>
    <t>Suma e^2</t>
  </si>
  <si>
    <t>S^2</t>
  </si>
  <si>
    <t>Sb1</t>
  </si>
  <si>
    <t>SEE</t>
  </si>
  <si>
    <t>S</t>
  </si>
  <si>
    <t>średnia x</t>
  </si>
  <si>
    <t>(xi-x_sr)^2</t>
  </si>
  <si>
    <t>suma</t>
  </si>
  <si>
    <t>Sb0</t>
  </si>
  <si>
    <t>R2</t>
  </si>
</sst>
</file>

<file path=xl/styles.xml><?xml version="1.0" encoding="utf-8"?>
<styleSheet xmlns="http://schemas.openxmlformats.org/spreadsheetml/2006/main">
  <fonts count="5">
    <font>
      <sz val="10"/>
      <color rgb="FF000000"/>
      <name val="Arial"/>
    </font>
    <font>
      <sz val="10"/>
      <name val="Arial"/>
      <family val="2"/>
    </font>
    <font>
      <sz val="10"/>
      <color rgb="FF000000"/>
      <name val="Arial"/>
      <family val="2"/>
    </font>
    <font>
      <i/>
      <sz val="10"/>
      <color rgb="FF000000"/>
      <name val="Arial"/>
      <family val="2"/>
      <charset val="238"/>
    </font>
    <font>
      <sz val="10"/>
      <color rgb="FF000000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 applyAlignment="1">
      <alignment wrapText="1"/>
    </xf>
    <xf numFmtId="3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 applyFill="1" applyAlignment="1"/>
    <xf numFmtId="0" fontId="1" fillId="0" borderId="0" xfId="0" applyFont="1" applyFill="1" applyAlignment="1">
      <alignment wrapText="1"/>
    </xf>
    <xf numFmtId="0" fontId="1" fillId="0" borderId="0" xfId="0" applyFont="1" applyFill="1"/>
    <xf numFmtId="0" fontId="2" fillId="0" borderId="0" xfId="0" applyFont="1"/>
    <xf numFmtId="0" fontId="2" fillId="0" borderId="0" xfId="0" applyFont="1" applyAlignment="1">
      <alignment wrapText="1"/>
    </xf>
    <xf numFmtId="0" fontId="0" fillId="0" borderId="0" xfId="0" applyFill="1" applyBorder="1" applyAlignment="1">
      <alignment wrapText="1"/>
    </xf>
    <xf numFmtId="0" fontId="0" fillId="0" borderId="1" xfId="0" applyFill="1" applyBorder="1" applyAlignment="1">
      <alignment wrapText="1"/>
    </xf>
    <xf numFmtId="0" fontId="3" fillId="0" borderId="2" xfId="0" applyFont="1" applyFill="1" applyBorder="1" applyAlignment="1">
      <alignment horizontal="center" wrapText="1"/>
    </xf>
    <xf numFmtId="0" fontId="3" fillId="0" borderId="2" xfId="0" applyFont="1" applyFill="1" applyBorder="1" applyAlignment="1">
      <alignment horizontal="centerContinuous" wrapText="1"/>
    </xf>
    <xf numFmtId="0" fontId="4" fillId="0" borderId="0" xfId="0" applyFont="1" applyAlignment="1">
      <alignment wrapText="1"/>
    </xf>
    <xf numFmtId="0" fontId="0" fillId="2" borderId="0" xfId="0" applyFill="1" applyAlignment="1">
      <alignment wrapText="1"/>
    </xf>
    <xf numFmtId="0" fontId="0" fillId="2" borderId="0" xfId="0" applyFill="1" applyBorder="1" applyAlignment="1">
      <alignment wrapText="1"/>
    </xf>
    <xf numFmtId="4" fontId="0" fillId="0" borderId="0" xfId="0" applyNumberFormat="1" applyFill="1" applyBorder="1" applyAlignment="1">
      <alignment wrapText="1"/>
    </xf>
    <xf numFmtId="4" fontId="0" fillId="0" borderId="1" xfId="0" applyNumberFormat="1" applyFill="1" applyBorder="1" applyAlignment="1">
      <alignment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90"/>
  <sheetViews>
    <sheetView tabSelected="1" workbookViewId="0">
      <pane xSplit="1" ySplit="1" topLeftCell="F2" activePane="bottomRight" state="frozen"/>
      <selection pane="topRight" activeCell="B1" sqref="B1"/>
      <selection pane="bottomLeft" activeCell="A2" sqref="A2"/>
      <selection pane="bottomRight" activeCell="L29" sqref="L29"/>
    </sheetView>
  </sheetViews>
  <sheetFormatPr defaultColWidth="17.28515625" defaultRowHeight="15" customHeight="1"/>
  <cols>
    <col min="1" max="2" width="9.140625" customWidth="1"/>
  </cols>
  <sheetData>
    <row r="1" spans="1:13" ht="12.75" customHeight="1">
      <c r="A1" s="6" t="s">
        <v>0</v>
      </c>
      <c r="B1" s="6" t="s">
        <v>2</v>
      </c>
      <c r="C1" s="7" t="s">
        <v>1</v>
      </c>
      <c r="D1" s="12" t="s">
        <v>27</v>
      </c>
      <c r="E1" s="12" t="s">
        <v>28</v>
      </c>
      <c r="F1" s="12" t="s">
        <v>35</v>
      </c>
      <c r="G1" s="12"/>
    </row>
    <row r="2" spans="1:13" ht="12.75" customHeight="1">
      <c r="A2" s="5">
        <v>57.7</v>
      </c>
      <c r="B2" s="5">
        <v>2.7895807121644256</v>
      </c>
      <c r="C2" s="2">
        <v>616</v>
      </c>
      <c r="D2">
        <f>$I$22+B2*$I$23</f>
        <v>57.503502571273238</v>
      </c>
      <c r="E2">
        <f>(D2-A2)^2</f>
        <v>3.8611239496230139E-2</v>
      </c>
      <c r="F2">
        <f>(B2-$H$43)^2</f>
        <v>1.3393875930782755</v>
      </c>
    </row>
    <row r="3" spans="1:13" ht="12.75" customHeight="1">
      <c r="A3" s="5">
        <v>57.3</v>
      </c>
      <c r="B3" s="5">
        <v>2.8686444383948255</v>
      </c>
      <c r="C3" s="2">
        <v>739</v>
      </c>
      <c r="D3">
        <f t="shared" ref="D3:D66" si="0">$I$22+B3*$I$23</f>
        <v>58.445188492735312</v>
      </c>
      <c r="E3">
        <f t="shared" ref="E3:E66" si="1">(D3-A3)^2</f>
        <v>1.3114566838933823</v>
      </c>
      <c r="F3">
        <f t="shared" ref="F3:F66" si="2">(B3-$H$43)^2</f>
        <v>1.1626347385047666</v>
      </c>
    </row>
    <row r="4" spans="1:13" ht="12.75" customHeight="1">
      <c r="A4" s="3">
        <v>57.5</v>
      </c>
      <c r="B4" s="5">
        <v>2.8704039052790269</v>
      </c>
      <c r="C4" s="2">
        <v>742</v>
      </c>
      <c r="D4">
        <f t="shared" si="0"/>
        <v>58.466144565426632</v>
      </c>
      <c r="E4">
        <f t="shared" si="1"/>
        <v>0.93343532130341489</v>
      </c>
      <c r="F4">
        <f t="shared" si="2"/>
        <v>1.1588435248400788</v>
      </c>
    </row>
    <row r="5" spans="1:13" ht="12.75" customHeight="1">
      <c r="A5" s="3">
        <v>59.8</v>
      </c>
      <c r="B5" s="5">
        <v>2.8709888137605755</v>
      </c>
      <c r="C5" s="2">
        <v>743</v>
      </c>
      <c r="D5">
        <f t="shared" si="0"/>
        <v>58.473111098736901</v>
      </c>
      <c r="E5">
        <f t="shared" si="1"/>
        <v>1.7606341562951873</v>
      </c>
      <c r="F5">
        <f t="shared" si="2"/>
        <v>1.1575845637379978</v>
      </c>
    </row>
    <row r="6" spans="1:13" ht="12.75" customHeight="1">
      <c r="A6" s="5">
        <v>63.1</v>
      </c>
      <c r="B6" s="5">
        <v>2.8864907251724818</v>
      </c>
      <c r="C6" s="2">
        <v>770</v>
      </c>
      <c r="D6">
        <f t="shared" si="0"/>
        <v>58.657746106829038</v>
      </c>
      <c r="E6">
        <f t="shared" si="1"/>
        <v>19.733619651392583</v>
      </c>
      <c r="F6">
        <f t="shared" si="2"/>
        <v>1.1244675177695795</v>
      </c>
      <c r="H6" t="s">
        <v>3</v>
      </c>
    </row>
    <row r="7" spans="1:13" ht="12.75" customHeight="1" thickBot="1">
      <c r="A7" s="5">
        <v>61.6</v>
      </c>
      <c r="B7" s="5">
        <v>2.9508514588885464</v>
      </c>
      <c r="C7" s="2">
        <v>893</v>
      </c>
      <c r="D7">
        <f t="shared" si="0"/>
        <v>59.424312517559166</v>
      </c>
      <c r="E7">
        <f t="shared" si="1"/>
        <v>4.7336160212497411</v>
      </c>
      <c r="F7">
        <f t="shared" si="2"/>
        <v>0.99211240283871138</v>
      </c>
    </row>
    <row r="8" spans="1:13" ht="12.75" customHeight="1">
      <c r="A8" s="3">
        <v>52.8</v>
      </c>
      <c r="B8" s="5">
        <v>2.9726655922661109</v>
      </c>
      <c r="C8" s="2">
        <v>939</v>
      </c>
      <c r="D8">
        <f t="shared" si="0"/>
        <v>59.684129038610642</v>
      </c>
      <c r="E8">
        <f t="shared" si="1"/>
        <v>47.391232620242327</v>
      </c>
      <c r="F8">
        <f t="shared" si="2"/>
        <v>0.9491323942269686</v>
      </c>
      <c r="H8" s="11" t="s">
        <v>4</v>
      </c>
      <c r="I8" s="11"/>
    </row>
    <row r="9" spans="1:13" ht="12.75" customHeight="1">
      <c r="A9" s="5">
        <v>56.2</v>
      </c>
      <c r="B9" s="5">
        <v>2.9863237770507651</v>
      </c>
      <c r="C9" s="2">
        <v>969</v>
      </c>
      <c r="D9">
        <f t="shared" si="0"/>
        <v>59.846804401101849</v>
      </c>
      <c r="E9">
        <f t="shared" si="1"/>
        <v>13.299182339895797</v>
      </c>
      <c r="F9">
        <f t="shared" si="2"/>
        <v>0.92270639713315272</v>
      </c>
      <c r="H9" s="8" t="s">
        <v>5</v>
      </c>
      <c r="I9" s="8">
        <v>0.80376912578903925</v>
      </c>
    </row>
    <row r="10" spans="1:13" ht="12.75" customHeight="1">
      <c r="A10" s="3">
        <v>62.1</v>
      </c>
      <c r="B10" s="5">
        <v>3.0718820073061255</v>
      </c>
      <c r="C10" s="1">
        <v>1180</v>
      </c>
      <c r="D10">
        <f t="shared" si="0"/>
        <v>60.865842900019757</v>
      </c>
      <c r="E10">
        <f t="shared" si="1"/>
        <v>1.5231437474316467</v>
      </c>
      <c r="F10">
        <f t="shared" si="2"/>
        <v>0.76565622977911629</v>
      </c>
      <c r="H10" s="8" t="s">
        <v>6</v>
      </c>
      <c r="I10" s="8">
        <v>0.64604480757167648</v>
      </c>
    </row>
    <row r="11" spans="1:13" ht="12.75" customHeight="1">
      <c r="A11" s="3">
        <v>60.2</v>
      </c>
      <c r="B11" s="5">
        <v>3.0849335749367159</v>
      </c>
      <c r="C11" s="1">
        <v>1216</v>
      </c>
      <c r="D11">
        <f t="shared" si="0"/>
        <v>61.021293168767798</v>
      </c>
      <c r="E11">
        <f t="shared" si="1"/>
        <v>0.67452246906464597</v>
      </c>
      <c r="F11">
        <f t="shared" si="2"/>
        <v>0.74298586402214994</v>
      </c>
      <c r="H11" s="8" t="s">
        <v>7</v>
      </c>
      <c r="I11" s="8">
        <v>0.64415199905601694</v>
      </c>
    </row>
    <row r="12" spans="1:13" ht="12.75" customHeight="1">
      <c r="A12" s="3">
        <v>62.6</v>
      </c>
      <c r="B12" s="5">
        <v>3.0863598306747484</v>
      </c>
      <c r="C12" s="1">
        <v>1220</v>
      </c>
      <c r="D12">
        <f t="shared" si="0"/>
        <v>61.038280541017315</v>
      </c>
      <c r="E12">
        <f t="shared" si="1"/>
        <v>2.4389676685651756</v>
      </c>
      <c r="F12">
        <f t="shared" si="2"/>
        <v>0.74052912952824468</v>
      </c>
      <c r="H12" s="8" t="s">
        <v>8</v>
      </c>
      <c r="I12" s="8">
        <v>4.8021252674624986</v>
      </c>
    </row>
    <row r="13" spans="1:13" ht="12.75" customHeight="1" thickBot="1">
      <c r="A13" s="3">
        <v>52.8</v>
      </c>
      <c r="B13" s="5">
        <v>3.0906107078284069</v>
      </c>
      <c r="C13" s="1">
        <v>1232</v>
      </c>
      <c r="D13">
        <f t="shared" si="0"/>
        <v>61.08891047411457</v>
      </c>
      <c r="E13">
        <f t="shared" si="1"/>
        <v>68.706036847886281</v>
      </c>
      <c r="F13">
        <f t="shared" si="2"/>
        <v>0.73323109964584454</v>
      </c>
      <c r="H13" s="9" t="s">
        <v>9</v>
      </c>
      <c r="I13" s="9">
        <v>189</v>
      </c>
    </row>
    <row r="14" spans="1:13" ht="12.75" customHeight="1">
      <c r="A14" s="5">
        <v>63</v>
      </c>
      <c r="B14" s="5">
        <v>3.110252917353403</v>
      </c>
      <c r="C14" s="1">
        <v>1289</v>
      </c>
      <c r="D14">
        <f t="shared" si="0"/>
        <v>61.322858367263393</v>
      </c>
      <c r="E14">
        <f t="shared" si="1"/>
        <v>2.8128040562584116</v>
      </c>
      <c r="F14">
        <f t="shared" si="2"/>
        <v>0.69997809444529324</v>
      </c>
    </row>
    <row r="15" spans="1:13" ht="12.75" customHeight="1" thickBot="1">
      <c r="A15" s="5">
        <v>59.8</v>
      </c>
      <c r="B15" s="5">
        <v>3.1228709228644354</v>
      </c>
      <c r="C15" s="1">
        <v>1327</v>
      </c>
      <c r="D15">
        <f t="shared" si="0"/>
        <v>61.473144708588158</v>
      </c>
      <c r="E15">
        <f t="shared" si="1"/>
        <v>2.7994132158765628</v>
      </c>
      <c r="F15">
        <f t="shared" si="2"/>
        <v>0.67902367722607804</v>
      </c>
      <c r="H15" t="s">
        <v>10</v>
      </c>
    </row>
    <row r="16" spans="1:13" ht="12.75" customHeight="1">
      <c r="A16" s="5">
        <v>64.3</v>
      </c>
      <c r="B16" s="5">
        <v>3.1379867327235318</v>
      </c>
      <c r="C16" s="1">
        <v>1374</v>
      </c>
      <c r="D16">
        <f t="shared" si="0"/>
        <v>61.653181066782665</v>
      </c>
      <c r="E16">
        <f t="shared" si="1"/>
        <v>7.0056504652377374</v>
      </c>
      <c r="F16">
        <f t="shared" si="2"/>
        <v>0.65434043568982692</v>
      </c>
      <c r="H16" s="10"/>
      <c r="I16" s="10" t="s">
        <v>15</v>
      </c>
      <c r="J16" s="10" t="s">
        <v>16</v>
      </c>
      <c r="K16" s="10" t="s">
        <v>17</v>
      </c>
      <c r="L16" s="10" t="s">
        <v>18</v>
      </c>
      <c r="M16" s="10" t="s">
        <v>19</v>
      </c>
    </row>
    <row r="17" spans="1:16" ht="12.75" customHeight="1">
      <c r="A17" s="5">
        <v>65.3</v>
      </c>
      <c r="B17" s="5">
        <v>3.1423894661188361</v>
      </c>
      <c r="C17" s="1">
        <v>1388</v>
      </c>
      <c r="D17">
        <f t="shared" si="0"/>
        <v>61.705619678671852</v>
      </c>
      <c r="E17">
        <f t="shared" si="1"/>
        <v>12.919569894351023</v>
      </c>
      <c r="F17">
        <f t="shared" si="2"/>
        <v>0.64723696213662907</v>
      </c>
      <c r="H17" s="8" t="s">
        <v>11</v>
      </c>
      <c r="I17" s="8">
        <v>1</v>
      </c>
      <c r="J17" s="8">
        <v>7870.8734317882936</v>
      </c>
      <c r="K17" s="8">
        <v>7870.8734317882936</v>
      </c>
      <c r="L17" s="8">
        <v>341.31545913221146</v>
      </c>
      <c r="M17" s="8">
        <v>4.8497814648308082E-44</v>
      </c>
    </row>
    <row r="18" spans="1:16" ht="12.75" customHeight="1">
      <c r="A18" s="3">
        <v>71.2</v>
      </c>
      <c r="B18" s="5">
        <v>3.1439511164239633</v>
      </c>
      <c r="C18" s="1">
        <v>1393</v>
      </c>
      <c r="D18">
        <f t="shared" si="0"/>
        <v>61.724219663477776</v>
      </c>
      <c r="E18">
        <f t="shared" si="1"/>
        <v>89.790412986021295</v>
      </c>
      <c r="F18">
        <f t="shared" si="2"/>
        <v>0.64472667310690146</v>
      </c>
      <c r="H18" s="8" t="s">
        <v>12</v>
      </c>
      <c r="I18" s="8">
        <v>187</v>
      </c>
      <c r="J18" s="14">
        <v>4312.2961247831317</v>
      </c>
      <c r="K18" s="8">
        <v>23.060407084401774</v>
      </c>
      <c r="L18" s="8"/>
      <c r="M18" s="8"/>
    </row>
    <row r="19" spans="1:16" ht="12.75" customHeight="1" thickBot="1">
      <c r="A19" s="5">
        <v>56</v>
      </c>
      <c r="B19" s="5">
        <v>3.1519823954574742</v>
      </c>
      <c r="C19" s="1">
        <v>1419</v>
      </c>
      <c r="D19">
        <f t="shared" si="0"/>
        <v>61.819875949334474</v>
      </c>
      <c r="E19">
        <f t="shared" si="1"/>
        <v>33.870956065641842</v>
      </c>
      <c r="F19">
        <f t="shared" si="2"/>
        <v>0.63189376384834373</v>
      </c>
      <c r="H19" s="9" t="s">
        <v>13</v>
      </c>
      <c r="I19" s="9">
        <v>188</v>
      </c>
      <c r="J19" s="9">
        <v>12183.169556571425</v>
      </c>
      <c r="K19" s="9"/>
      <c r="L19" s="9"/>
      <c r="M19" s="9"/>
    </row>
    <row r="20" spans="1:16" ht="12.75" customHeight="1" thickBot="1">
      <c r="A20" s="3">
        <v>63.7</v>
      </c>
      <c r="B20" s="5">
        <v>3.1758016328482794</v>
      </c>
      <c r="C20" s="1">
        <v>1499</v>
      </c>
      <c r="D20">
        <f t="shared" si="0"/>
        <v>62.10357419605662</v>
      </c>
      <c r="E20">
        <f t="shared" si="1"/>
        <v>2.5485753474962767</v>
      </c>
      <c r="F20">
        <f t="shared" si="2"/>
        <v>0.59459246467733129</v>
      </c>
    </row>
    <row r="21" spans="1:16" ht="12.75" customHeight="1">
      <c r="A21" s="3">
        <v>62</v>
      </c>
      <c r="B21" s="5">
        <v>3.1809855807867304</v>
      </c>
      <c r="C21" s="1">
        <v>1517</v>
      </c>
      <c r="D21">
        <f t="shared" si="0"/>
        <v>62.165317438172558</v>
      </c>
      <c r="E21">
        <f t="shared" si="1"/>
        <v>2.7329855363937446E-2</v>
      </c>
      <c r="F21">
        <f t="shared" si="2"/>
        <v>0.58662467193914614</v>
      </c>
      <c r="H21" s="10"/>
      <c r="I21" s="10" t="s">
        <v>20</v>
      </c>
      <c r="J21" s="10" t="s">
        <v>8</v>
      </c>
      <c r="K21" s="10" t="s">
        <v>21</v>
      </c>
      <c r="L21" s="10" t="s">
        <v>22</v>
      </c>
      <c r="M21" s="10" t="s">
        <v>23</v>
      </c>
      <c r="N21" s="10" t="s">
        <v>24</v>
      </c>
      <c r="O21" s="10" t="s">
        <v>25</v>
      </c>
      <c r="P21" s="10" t="s">
        <v>26</v>
      </c>
    </row>
    <row r="22" spans="1:16" ht="12.75" customHeight="1">
      <c r="A22" s="3">
        <v>64.3</v>
      </c>
      <c r="B22" s="5">
        <v>3.1964525417033891</v>
      </c>
      <c r="C22" s="1">
        <v>1572</v>
      </c>
      <c r="D22">
        <f t="shared" si="0"/>
        <v>62.349536169535881</v>
      </c>
      <c r="E22">
        <f t="shared" si="1"/>
        <v>3.8043091539487528</v>
      </c>
      <c r="F22">
        <f t="shared" si="2"/>
        <v>0.56317116660037847</v>
      </c>
      <c r="H22" s="8" t="s">
        <v>14</v>
      </c>
      <c r="I22" s="8">
        <v>24.278292874322055</v>
      </c>
      <c r="J22" s="8">
        <v>2.5683898263868743</v>
      </c>
      <c r="K22" s="8">
        <v>9.4527289529393421</v>
      </c>
      <c r="L22" s="15">
        <v>1.3997808576493615E-17</v>
      </c>
      <c r="M22" s="8">
        <v>19.21155066833979</v>
      </c>
      <c r="N22" s="8">
        <v>29.345035080304321</v>
      </c>
      <c r="O22" s="8">
        <v>19.21155066833979</v>
      </c>
      <c r="P22" s="8">
        <v>29.345035080304321</v>
      </c>
    </row>
    <row r="23" spans="1:16" ht="12.75" customHeight="1" thickBot="1">
      <c r="A23" s="3">
        <v>64.3</v>
      </c>
      <c r="B23" s="5">
        <v>3.1972805581256192</v>
      </c>
      <c r="C23" s="1">
        <v>1575</v>
      </c>
      <c r="D23">
        <f t="shared" si="0"/>
        <v>62.359398232010413</v>
      </c>
      <c r="E23">
        <f t="shared" si="1"/>
        <v>3.7659352219242992</v>
      </c>
      <c r="F23">
        <f t="shared" si="2"/>
        <v>0.56192908681650655</v>
      </c>
      <c r="H23" s="9" t="s">
        <v>2</v>
      </c>
      <c r="I23" s="9">
        <v>11.910467244079797</v>
      </c>
      <c r="J23" s="9">
        <v>0.64468983034767446</v>
      </c>
      <c r="K23" s="9">
        <v>18.474724872977454</v>
      </c>
      <c r="L23" s="16">
        <v>4.8497814648305294E-44</v>
      </c>
      <c r="M23" s="9">
        <v>10.638667636546979</v>
      </c>
      <c r="N23" s="9">
        <v>13.182266851612615</v>
      </c>
      <c r="O23" s="9">
        <v>10.638667636546979</v>
      </c>
      <c r="P23" s="9">
        <v>13.182266851612615</v>
      </c>
    </row>
    <row r="24" spans="1:16" ht="12.75" customHeight="1">
      <c r="A24" s="5">
        <v>57.7</v>
      </c>
      <c r="B24" s="5">
        <v>3.2000292665537704</v>
      </c>
      <c r="C24" s="1">
        <v>1585</v>
      </c>
      <c r="D24">
        <f t="shared" si="0"/>
        <v>62.392136633707437</v>
      </c>
      <c r="E24">
        <f t="shared" si="1"/>
        <v>22.016146189379338</v>
      </c>
      <c r="F24">
        <f t="shared" si="2"/>
        <v>0.5578156724686596</v>
      </c>
    </row>
    <row r="25" spans="1:16" ht="12.75" customHeight="1">
      <c r="A25" s="5">
        <v>57.2</v>
      </c>
      <c r="B25" s="5">
        <v>3.2073650374690716</v>
      </c>
      <c r="C25" s="1">
        <v>1612</v>
      </c>
      <c r="D25">
        <f t="shared" si="0"/>
        <v>62.479509092904202</v>
      </c>
      <c r="E25">
        <f t="shared" si="1"/>
        <v>27.873216262058119</v>
      </c>
      <c r="F25">
        <f t="shared" si="2"/>
        <v>0.54691174295671119</v>
      </c>
    </row>
    <row r="26" spans="1:16" ht="12.75" customHeight="1">
      <c r="A26" s="5">
        <v>62.2</v>
      </c>
      <c r="B26" s="5">
        <v>3.2219355998280053</v>
      </c>
      <c r="C26" s="1">
        <v>1667</v>
      </c>
      <c r="D26">
        <f t="shared" si="0"/>
        <v>62.653051298608105</v>
      </c>
      <c r="E26">
        <f t="shared" si="1"/>
        <v>0.2052554791704877</v>
      </c>
      <c r="F26">
        <f t="shared" si="2"/>
        <v>0.52557316795996134</v>
      </c>
      <c r="H26" s="12" t="s">
        <v>29</v>
      </c>
      <c r="J26" s="12" t="s">
        <v>32</v>
      </c>
    </row>
    <row r="27" spans="1:16" ht="12.75" customHeight="1">
      <c r="A27" s="3">
        <v>64.900000000000006</v>
      </c>
      <c r="B27" s="5">
        <v>3.2268575702887237</v>
      </c>
      <c r="C27" s="1">
        <v>1686</v>
      </c>
      <c r="D27">
        <f t="shared" si="0"/>
        <v>62.71167426655682</v>
      </c>
      <c r="E27">
        <f t="shared" si="1"/>
        <v>4.7887695156496584</v>
      </c>
      <c r="F27">
        <f t="shared" si="2"/>
        <v>0.51846088847763183</v>
      </c>
      <c r="H27" s="13">
        <f>SUM(E2:E190)</f>
        <v>4312.296124783129</v>
      </c>
      <c r="J27" s="13">
        <f>SUM(E2:E190)</f>
        <v>4312.296124783129</v>
      </c>
      <c r="K27" s="12" t="s">
        <v>38</v>
      </c>
    </row>
    <row r="28" spans="1:16" ht="12.75" customHeight="1">
      <c r="A28" s="3">
        <v>62</v>
      </c>
      <c r="B28" s="5">
        <v>3.2464985807958011</v>
      </c>
      <c r="C28" s="1">
        <v>1764</v>
      </c>
      <c r="D28">
        <f t="shared" si="0"/>
        <v>62.94560787884199</v>
      </c>
      <c r="E28">
        <f t="shared" si="1"/>
        <v>0.89417426052804794</v>
      </c>
      <c r="F28">
        <f t="shared" si="2"/>
        <v>0.49056194170213124</v>
      </c>
      <c r="H28" s="12" t="s">
        <v>30</v>
      </c>
      <c r="K28">
        <f>1-J18/J19</f>
        <v>0.64604480757167648</v>
      </c>
    </row>
    <row r="29" spans="1:16" ht="12.75" customHeight="1">
      <c r="A29" s="5">
        <v>57.2</v>
      </c>
      <c r="B29" s="5">
        <v>3.2506639194632436</v>
      </c>
      <c r="C29" s="1">
        <v>1781</v>
      </c>
      <c r="D29">
        <f t="shared" si="0"/>
        <v>62.995219008601069</v>
      </c>
      <c r="E29">
        <f t="shared" si="1"/>
        <v>33.58456335765112</v>
      </c>
      <c r="F29">
        <f t="shared" si="2"/>
        <v>0.48474447474706706</v>
      </c>
      <c r="H29">
        <f>(1/(189-2))*H27</f>
        <v>23.060407084401756</v>
      </c>
      <c r="I29">
        <f>SQRT(H29)</f>
        <v>4.8021252674624968</v>
      </c>
    </row>
    <row r="30" spans="1:16" ht="12.75" customHeight="1">
      <c r="A30" s="3">
        <v>56.2</v>
      </c>
      <c r="B30" s="5">
        <v>3.2753113545418118</v>
      </c>
      <c r="C30" s="1">
        <v>1885</v>
      </c>
      <c r="D30">
        <f t="shared" si="0"/>
        <v>63.288781476754934</v>
      </c>
      <c r="E30">
        <f t="shared" si="1"/>
        <v>50.250822825183825</v>
      </c>
      <c r="F30">
        <f t="shared" si="2"/>
        <v>0.4510311108747786</v>
      </c>
    </row>
    <row r="31" spans="1:16" ht="12.75" customHeight="1">
      <c r="A31" s="5">
        <v>71.400000000000006</v>
      </c>
      <c r="B31" s="5">
        <v>3.2946866242794433</v>
      </c>
      <c r="C31" s="1">
        <v>1971</v>
      </c>
      <c r="D31">
        <f t="shared" si="0"/>
        <v>63.519549992310203</v>
      </c>
      <c r="E31">
        <f t="shared" si="1"/>
        <v>62.101492323698203</v>
      </c>
      <c r="F31">
        <f t="shared" si="2"/>
        <v>0.42538209534269977</v>
      </c>
    </row>
    <row r="32" spans="1:16" ht="12.75" customHeight="1">
      <c r="A32" s="5">
        <v>63.7</v>
      </c>
      <c r="B32" s="5">
        <v>3.2971036501492565</v>
      </c>
      <c r="C32" s="1">
        <v>1982</v>
      </c>
      <c r="D32">
        <f t="shared" si="0"/>
        <v>63.54833789976071</v>
      </c>
      <c r="E32">
        <f t="shared" si="1"/>
        <v>2.3001392648993171E-2</v>
      </c>
      <c r="F32">
        <f t="shared" si="2"/>
        <v>0.42223510486524218</v>
      </c>
      <c r="J32" s="12" t="s">
        <v>33</v>
      </c>
    </row>
    <row r="33" spans="1:10" ht="12.75" customHeight="1">
      <c r="A33" s="3">
        <v>57.1</v>
      </c>
      <c r="B33" s="5">
        <v>3.3040594662175993</v>
      </c>
      <c r="C33" s="1">
        <v>2014</v>
      </c>
      <c r="D33">
        <f t="shared" si="0"/>
        <v>63.631184919198553</v>
      </c>
      <c r="E33">
        <f t="shared" si="1"/>
        <v>42.656376448766594</v>
      </c>
      <c r="F33">
        <f t="shared" si="2"/>
        <v>0.41324376250854777</v>
      </c>
      <c r="J33">
        <f>SQRT(J27/(189-2))</f>
        <v>4.8021252674624968</v>
      </c>
    </row>
    <row r="34" spans="1:10" ht="12.75" customHeight="1">
      <c r="A34" s="3">
        <v>65.2</v>
      </c>
      <c r="B34" s="5">
        <v>3.3238706065405088</v>
      </c>
      <c r="C34" s="1">
        <v>2108</v>
      </c>
      <c r="D34">
        <f t="shared" si="0"/>
        <v>63.86714485708243</v>
      </c>
      <c r="E34">
        <f t="shared" si="1"/>
        <v>1.7765028320018246</v>
      </c>
      <c r="F34">
        <f t="shared" si="2"/>
        <v>0.38816544158528532</v>
      </c>
      <c r="H34" s="12" t="s">
        <v>37</v>
      </c>
      <c r="I34">
        <f>J33*SQRT(1/189+(H43^2/H46))</f>
        <v>2.5683898263868734</v>
      </c>
    </row>
    <row r="35" spans="1:10" ht="12.75" customHeight="1">
      <c r="A35" s="5">
        <v>70.599999999999994</v>
      </c>
      <c r="B35" s="5">
        <v>3.3285834497142019</v>
      </c>
      <c r="C35" s="1">
        <v>2131</v>
      </c>
      <c r="D35">
        <f t="shared" si="0"/>
        <v>63.923277021329191</v>
      </c>
      <c r="E35">
        <f t="shared" si="1"/>
        <v>44.578629733910716</v>
      </c>
      <c r="F35">
        <f t="shared" si="2"/>
        <v>0.3823151742164021</v>
      </c>
      <c r="H35" s="12" t="s">
        <v>31</v>
      </c>
      <c r="I35">
        <f>J33/SQRT(H46)</f>
        <v>0.64468983034767413</v>
      </c>
    </row>
    <row r="36" spans="1:10" ht="12.75" customHeight="1">
      <c r="A36" s="5">
        <v>65.7</v>
      </c>
      <c r="B36" s="5">
        <v>3.3372595397502756</v>
      </c>
      <c r="C36" s="1">
        <v>2174</v>
      </c>
      <c r="D36">
        <f t="shared" si="0"/>
        <v>64.02661330751053</v>
      </c>
      <c r="E36">
        <f t="shared" si="1"/>
        <v>2.8002230226008571</v>
      </c>
      <c r="F36">
        <f t="shared" si="2"/>
        <v>0.37166131118833229</v>
      </c>
    </row>
    <row r="37" spans="1:10" ht="12.75" customHeight="1">
      <c r="A37" s="5">
        <v>70.599999999999994</v>
      </c>
      <c r="B37" s="5">
        <v>3.3671694885346808</v>
      </c>
      <c r="C37" s="1">
        <v>2329</v>
      </c>
      <c r="D37">
        <f t="shared" si="0"/>
        <v>64.382854772779297</v>
      </c>
      <c r="E37">
        <f t="shared" si="1"/>
        <v>38.652894776353101</v>
      </c>
      <c r="F37">
        <f t="shared" si="2"/>
        <v>0.33608729514941721</v>
      </c>
    </row>
    <row r="38" spans="1:10" ht="12.75" customHeight="1">
      <c r="A38" s="3">
        <v>69.5</v>
      </c>
      <c r="B38" s="5">
        <v>3.3732798932774961</v>
      </c>
      <c r="C38" s="1">
        <v>2362</v>
      </c>
      <c r="D38">
        <f t="shared" si="0"/>
        <v>64.455632548316657</v>
      </c>
      <c r="E38">
        <f t="shared" si="1"/>
        <v>25.445642987602298</v>
      </c>
      <c r="F38">
        <f t="shared" si="2"/>
        <v>0.32903985786188933</v>
      </c>
    </row>
    <row r="39" spans="1:10" ht="12.75" customHeight="1">
      <c r="A39" s="5">
        <v>59.8</v>
      </c>
      <c r="B39" s="5">
        <v>3.3762118502826728</v>
      </c>
      <c r="C39" s="1">
        <v>2378</v>
      </c>
      <c r="D39">
        <f t="shared" si="0"/>
        <v>64.490553526187881</v>
      </c>
      <c r="E39">
        <f t="shared" si="1"/>
        <v>22.00129238203359</v>
      </c>
      <c r="F39">
        <f t="shared" si="2"/>
        <v>0.32568479611702195</v>
      </c>
    </row>
    <row r="40" spans="1:10" ht="12.75" customHeight="1">
      <c r="A40" s="5">
        <v>48.3</v>
      </c>
      <c r="B40" s="5">
        <v>3.3864989655506532</v>
      </c>
      <c r="C40" s="1">
        <v>2435</v>
      </c>
      <c r="D40">
        <f t="shared" si="0"/>
        <v>64.613077875623219</v>
      </c>
      <c r="E40">
        <f t="shared" si="1"/>
        <v>266.11650977614784</v>
      </c>
      <c r="F40">
        <f t="shared" si="2"/>
        <v>0.31404915433146624</v>
      </c>
    </row>
    <row r="41" spans="1:10" ht="12.75" customHeight="1">
      <c r="A41" s="3">
        <v>63.4</v>
      </c>
      <c r="B41" s="5">
        <v>3.3909351071033793</v>
      </c>
      <c r="C41" s="1">
        <v>2460</v>
      </c>
      <c r="D41">
        <f t="shared" si="0"/>
        <v>64.665914394277081</v>
      </c>
      <c r="E41">
        <f t="shared" si="1"/>
        <v>1.6025392536379128</v>
      </c>
      <c r="F41">
        <f t="shared" si="2"/>
        <v>0.30909679835989812</v>
      </c>
    </row>
    <row r="42" spans="1:10" ht="12.75" customHeight="1">
      <c r="A42" s="3">
        <v>58.7</v>
      </c>
      <c r="B42" s="5">
        <v>3.4070508148042502</v>
      </c>
      <c r="C42" s="1">
        <v>2553</v>
      </c>
      <c r="D42">
        <f t="shared" si="0"/>
        <v>64.857860002963463</v>
      </c>
      <c r="E42">
        <f t="shared" si="1"/>
        <v>37.919239816097146</v>
      </c>
      <c r="F42">
        <f t="shared" si="2"/>
        <v>0.29143698373015592</v>
      </c>
      <c r="H42" s="12" t="s">
        <v>34</v>
      </c>
    </row>
    <row r="43" spans="1:10" ht="12.75" customHeight="1">
      <c r="A43" s="5">
        <v>68.400000000000006</v>
      </c>
      <c r="B43" s="5">
        <v>3.4138025167693513</v>
      </c>
      <c r="C43" s="1">
        <v>2593</v>
      </c>
      <c r="D43">
        <f t="shared" si="0"/>
        <v>64.938275928060591</v>
      </c>
      <c r="E43">
        <f t="shared" si="1"/>
        <v>11.983533550244802</v>
      </c>
      <c r="F43">
        <f t="shared" si="2"/>
        <v>0.28419276958937917</v>
      </c>
      <c r="H43">
        <f>AVERAGE(B2:B190)</f>
        <v>3.9468998527122157</v>
      </c>
    </row>
    <row r="44" spans="1:10" ht="12.75" customHeight="1">
      <c r="A44" s="3">
        <v>58.9</v>
      </c>
      <c r="B44" s="5">
        <v>3.4369573306694496</v>
      </c>
      <c r="C44" s="1">
        <v>2735</v>
      </c>
      <c r="D44">
        <f t="shared" si="0"/>
        <v>65.214060580560471</v>
      </c>
      <c r="E44">
        <f t="shared" si="1"/>
        <v>39.867361014987644</v>
      </c>
      <c r="F44">
        <f t="shared" si="2"/>
        <v>0.26004137578733694</v>
      </c>
    </row>
    <row r="45" spans="1:10" ht="12.75" customHeight="1">
      <c r="A45" s="3">
        <v>67.8</v>
      </c>
      <c r="B45" s="5">
        <v>3.4488608456074408</v>
      </c>
      <c r="C45" s="1">
        <v>2811</v>
      </c>
      <c r="D45">
        <f t="shared" si="0"/>
        <v>65.355837005318818</v>
      </c>
      <c r="E45">
        <f t="shared" si="1"/>
        <v>5.9739327445688675</v>
      </c>
      <c r="F45">
        <f t="shared" si="2"/>
        <v>0.24804285259791001</v>
      </c>
      <c r="H45" s="12" t="s">
        <v>36</v>
      </c>
    </row>
    <row r="46" spans="1:10" ht="12.75" customHeight="1">
      <c r="A46" s="5">
        <v>68.599999999999994</v>
      </c>
      <c r="B46" s="5">
        <v>3.4572761860613257</v>
      </c>
      <c r="C46" s="1">
        <v>2866</v>
      </c>
      <c r="D46">
        <f t="shared" si="0"/>
        <v>65.456067642142614</v>
      </c>
      <c r="E46">
        <f t="shared" si="1"/>
        <v>9.8843106707826678</v>
      </c>
      <c r="F46">
        <f t="shared" si="2"/>
        <v>0.23973133494466181</v>
      </c>
      <c r="H46">
        <f>SUM(F2:F190)</f>
        <v>55.483689241266333</v>
      </c>
    </row>
    <row r="47" spans="1:10" ht="12.75" customHeight="1">
      <c r="A47" s="5">
        <v>64.599999999999994</v>
      </c>
      <c r="B47" s="5">
        <v>3.459392487759231</v>
      </c>
      <c r="C47" s="1">
        <v>2880</v>
      </c>
      <c r="D47">
        <f t="shared" si="0"/>
        <v>65.481273784194087</v>
      </c>
      <c r="E47">
        <f t="shared" si="1"/>
        <v>0.77664348270777672</v>
      </c>
      <c r="F47">
        <f t="shared" si="2"/>
        <v>0.23766343088340255</v>
      </c>
    </row>
    <row r="48" spans="1:10" ht="12.75" customHeight="1">
      <c r="A48" s="5">
        <v>65.099999999999994</v>
      </c>
      <c r="B48" s="5">
        <v>3.4661258704181992</v>
      </c>
      <c r="C48" s="1">
        <v>2925</v>
      </c>
      <c r="D48">
        <f t="shared" si="0"/>
        <v>65.561471517795582</v>
      </c>
      <c r="E48">
        <f t="shared" si="1"/>
        <v>0.212955961736563</v>
      </c>
      <c r="F48">
        <f t="shared" si="2"/>
        <v>0.23114362205084726</v>
      </c>
    </row>
    <row r="49" spans="1:6" ht="12.75" customHeight="1">
      <c r="A49" s="5">
        <v>56.7</v>
      </c>
      <c r="B49" s="5">
        <v>3.4758164130313181</v>
      </c>
      <c r="C49" s="1">
        <v>2991</v>
      </c>
      <c r="D49">
        <f t="shared" si="0"/>
        <v>65.6768904081665</v>
      </c>
      <c r="E49">
        <f t="shared" si="1"/>
        <v>80.584561400231664</v>
      </c>
      <c r="F49">
        <f t="shared" si="2"/>
        <v>0.2219196071415859</v>
      </c>
    </row>
    <row r="50" spans="1:6" ht="12.75" customHeight="1">
      <c r="A50" s="5">
        <v>68.900000000000006</v>
      </c>
      <c r="B50" s="5">
        <v>3.5006480633719121</v>
      </c>
      <c r="C50" s="1">
        <v>3167</v>
      </c>
      <c r="D50">
        <f t="shared" si="0"/>
        <v>65.972646966164589</v>
      </c>
      <c r="E50">
        <f t="shared" si="1"/>
        <v>8.5693957847054154</v>
      </c>
      <c r="F50">
        <f t="shared" si="2"/>
        <v>0.19914065948942264</v>
      </c>
    </row>
    <row r="51" spans="1:6" ht="12.75" customHeight="1">
      <c r="A51" s="5">
        <v>67.099999999999994</v>
      </c>
      <c r="B51" s="5">
        <v>3.5245259366263757</v>
      </c>
      <c r="C51" s="1">
        <v>3346</v>
      </c>
      <c r="D51">
        <f t="shared" si="0"/>
        <v>66.257043593420178</v>
      </c>
      <c r="E51">
        <f t="shared" si="1"/>
        <v>0.71057550339395614</v>
      </c>
      <c r="F51">
        <f t="shared" si="2"/>
        <v>0.17839972498968817</v>
      </c>
    </row>
    <row r="52" spans="1:6" ht="12.75" customHeight="1">
      <c r="A52" s="5">
        <v>66.8</v>
      </c>
      <c r="B52" s="5">
        <v>3.5341530741850624</v>
      </c>
      <c r="C52" s="1">
        <v>3421</v>
      </c>
      <c r="D52">
        <f t="shared" si="0"/>
        <v>66.371707299967156</v>
      </c>
      <c r="E52">
        <f t="shared" si="1"/>
        <v>0.18343463690142142</v>
      </c>
      <c r="F52">
        <f t="shared" si="2"/>
        <v>0.17035990318454289</v>
      </c>
    </row>
    <row r="53" spans="1:6" ht="12.75" customHeight="1">
      <c r="A53" s="5">
        <v>64.7</v>
      </c>
      <c r="B53" s="5">
        <v>3.5516939151272249</v>
      </c>
      <c r="C53" s="1">
        <v>3562</v>
      </c>
      <c r="D53">
        <f t="shared" si="0"/>
        <v>66.580626911442394</v>
      </c>
      <c r="E53">
        <f t="shared" si="1"/>
        <v>3.5367575800413475</v>
      </c>
      <c r="F53">
        <f t="shared" si="2"/>
        <v>0.15618773310243164</v>
      </c>
    </row>
    <row r="54" spans="1:6" ht="12.75" customHeight="1">
      <c r="A54" s="3">
        <v>64.900000000000006</v>
      </c>
      <c r="B54" s="5">
        <v>3.5594277997594896</v>
      </c>
      <c r="C54" s="1">
        <v>3626</v>
      </c>
      <c r="D54">
        <f t="shared" si="0"/>
        <v>66.672741091024477</v>
      </c>
      <c r="E54">
        <f t="shared" si="1"/>
        <v>3.1426109758066332</v>
      </c>
      <c r="F54">
        <f t="shared" si="2"/>
        <v>0.15013459181940011</v>
      </c>
    </row>
    <row r="55" spans="1:6" ht="12.75" customHeight="1">
      <c r="A55" s="5">
        <v>74.599999999999994</v>
      </c>
      <c r="B55" s="5">
        <v>3.5959369062691735</v>
      </c>
      <c r="C55" s="1">
        <v>3944</v>
      </c>
      <c r="D55">
        <f t="shared" si="0"/>
        <v>67.10758160821868</v>
      </c>
      <c r="E55">
        <f t="shared" si="1"/>
        <v>56.136333357502892</v>
      </c>
      <c r="F55">
        <f t="shared" si="2"/>
        <v>0.12317498977598168</v>
      </c>
    </row>
    <row r="56" spans="1:6" ht="12.75" customHeight="1">
      <c r="A56" s="5">
        <v>67</v>
      </c>
      <c r="B56" s="5">
        <v>3.6086329894900371</v>
      </c>
      <c r="C56" s="1">
        <v>4061</v>
      </c>
      <c r="D56">
        <f t="shared" si="0"/>
        <v>67.258797891548895</v>
      </c>
      <c r="E56">
        <f t="shared" si="1"/>
        <v>6.6976348670153438E-2</v>
      </c>
      <c r="F56">
        <f t="shared" si="2"/>
        <v>0.11442447075417207</v>
      </c>
    </row>
    <row r="57" spans="1:6" ht="12.75" customHeight="1">
      <c r="A57" s="5">
        <v>71.900000000000006</v>
      </c>
      <c r="B57" s="5">
        <v>3.6180480967120925</v>
      </c>
      <c r="C57" s="1">
        <v>4150</v>
      </c>
      <c r="D57">
        <f t="shared" si="0"/>
        <v>67.370936217716689</v>
      </c>
      <c r="E57">
        <f t="shared" si="1"/>
        <v>20.512418743990459</v>
      </c>
      <c r="F57">
        <f t="shared" si="2"/>
        <v>0.10814347742436455</v>
      </c>
    </row>
    <row r="58" spans="1:6" ht="12.75" customHeight="1">
      <c r="A58" s="5">
        <v>76.400000000000006</v>
      </c>
      <c r="B58" s="5">
        <v>3.6304278750250241</v>
      </c>
      <c r="C58" s="1">
        <v>4270</v>
      </c>
      <c r="D58">
        <f t="shared" si="0"/>
        <v>67.518385161801831</v>
      </c>
      <c r="E58">
        <f t="shared" si="1"/>
        <v>78.883082134101997</v>
      </c>
      <c r="F58">
        <f t="shared" si="2"/>
        <v>0.1001545126612423</v>
      </c>
    </row>
    <row r="59" spans="1:6" ht="12.75" customHeight="1">
      <c r="A59" s="5">
        <v>65.7</v>
      </c>
      <c r="B59" s="5">
        <v>3.6394864892685859</v>
      </c>
      <c r="C59" s="1">
        <v>4360</v>
      </c>
      <c r="D59">
        <f t="shared" si="0"/>
        <v>67.626277490026524</v>
      </c>
      <c r="E59">
        <f t="shared" si="1"/>
        <v>3.7105449685828753</v>
      </c>
      <c r="F59">
        <f t="shared" si="2"/>
        <v>9.4502976023725219E-2</v>
      </c>
    </row>
    <row r="60" spans="1:6" ht="12.75" customHeight="1">
      <c r="A60" s="5">
        <v>65.8</v>
      </c>
      <c r="B60" s="5">
        <v>3.6409780573583319</v>
      </c>
      <c r="C60" s="1">
        <v>4375</v>
      </c>
      <c r="D60">
        <f t="shared" si="0"/>
        <v>67.644042762901762</v>
      </c>
      <c r="E60">
        <f t="shared" si="1"/>
        <v>3.4004937114103746</v>
      </c>
      <c r="F60">
        <f t="shared" si="2"/>
        <v>9.3588144872543536E-2</v>
      </c>
    </row>
    <row r="61" spans="1:6" ht="12.75" customHeight="1">
      <c r="A61" s="3">
        <v>72</v>
      </c>
      <c r="B61" s="5">
        <v>3.6457169393696036</v>
      </c>
      <c r="C61" s="1">
        <v>4423</v>
      </c>
      <c r="D61">
        <f t="shared" si="0"/>
        <v>67.70048506187058</v>
      </c>
      <c r="E61">
        <f t="shared" si="1"/>
        <v>18.485828703198028</v>
      </c>
      <c r="F61">
        <f t="shared" si="2"/>
        <v>9.0711147289543353E-2</v>
      </c>
    </row>
    <row r="62" spans="1:6" ht="12.75" customHeight="1">
      <c r="A62" s="5">
        <v>72.400000000000006</v>
      </c>
      <c r="B62" s="5">
        <v>3.6465997517203732</v>
      </c>
      <c r="C62" s="1">
        <v>4432</v>
      </c>
      <c r="D62">
        <f t="shared" si="0"/>
        <v>67.710999769457089</v>
      </c>
      <c r="E62">
        <f t="shared" si="1"/>
        <v>21.986723162031524</v>
      </c>
      <c r="F62">
        <f t="shared" si="2"/>
        <v>9.0180150655710778E-2</v>
      </c>
    </row>
    <row r="63" spans="1:6" ht="12.75" customHeight="1">
      <c r="A63" s="5">
        <v>69.7</v>
      </c>
      <c r="B63" s="5">
        <v>3.6694098672877828</v>
      </c>
      <c r="C63" s="1">
        <v>4671</v>
      </c>
      <c r="D63">
        <f t="shared" si="0"/>
        <v>67.98267890375638</v>
      </c>
      <c r="E63">
        <f t="shared" si="1"/>
        <v>2.9491917476033991</v>
      </c>
      <c r="F63">
        <f t="shared" si="2"/>
        <v>7.700069201085194E-2</v>
      </c>
    </row>
    <row r="64" spans="1:6" ht="12.75" customHeight="1">
      <c r="A64" s="5">
        <v>76.3</v>
      </c>
      <c r="B64" s="5">
        <v>3.6913467641348219</v>
      </c>
      <c r="C64" s="1">
        <v>4913</v>
      </c>
      <c r="D64">
        <f t="shared" si="0"/>
        <v>68.243957595089796</v>
      </c>
      <c r="E64">
        <f t="shared" si="1"/>
        <v>64.899819229711341</v>
      </c>
      <c r="F64">
        <f t="shared" si="2"/>
        <v>6.5307381081445279E-2</v>
      </c>
    </row>
    <row r="65" spans="1:6" ht="12.75" customHeight="1">
      <c r="A65" s="5">
        <v>71.8</v>
      </c>
      <c r="B65" s="5">
        <v>3.6953941082911097</v>
      </c>
      <c r="C65" s="1">
        <v>4959</v>
      </c>
      <c r="D65">
        <f t="shared" si="0"/>
        <v>68.292163355088789</v>
      </c>
      <c r="E65">
        <f t="shared" si="1"/>
        <v>12.304917927381922</v>
      </c>
      <c r="F65">
        <f t="shared" si="2"/>
        <v>6.3255139476814673E-2</v>
      </c>
    </row>
    <row r="66" spans="1:6" ht="12.75" customHeight="1">
      <c r="A66" s="3">
        <v>66.2</v>
      </c>
      <c r="B66" s="5">
        <v>3.7030333047336859</v>
      </c>
      <c r="C66" s="1">
        <v>5047</v>
      </c>
      <c r="D66">
        <f t="shared" si="0"/>
        <v>68.383149754089175</v>
      </c>
      <c r="E66">
        <f t="shared" si="1"/>
        <v>4.7661428487796114</v>
      </c>
      <c r="F66">
        <f t="shared" si="2"/>
        <v>5.9470893222964581E-2</v>
      </c>
    </row>
    <row r="67" spans="1:6" ht="12.75" customHeight="1">
      <c r="A67" s="5">
        <v>60.1</v>
      </c>
      <c r="B67" s="5">
        <v>3.7351995484223135</v>
      </c>
      <c r="C67" s="1">
        <v>5435</v>
      </c>
      <c r="D67">
        <f t="shared" ref="D67:D130" si="3">$I$22+B67*$I$23</f>
        <v>68.766264745907677</v>
      </c>
      <c r="E67">
        <f t="shared" ref="E67:E130" si="4">(D67-A67)^2</f>
        <v>75.104144646162226</v>
      </c>
      <c r="F67">
        <f t="shared" ref="F67:F130" si="5">(B67-$H$43)^2</f>
        <v>4.481701883643717E-2</v>
      </c>
    </row>
    <row r="68" spans="1:6" ht="12.75" customHeight="1">
      <c r="A68" s="3">
        <v>61.5</v>
      </c>
      <c r="B68" s="5">
        <v>3.7495817348655591</v>
      </c>
      <c r="C68" s="1">
        <v>5618</v>
      </c>
      <c r="D68">
        <f t="shared" si="3"/>
        <v>68.937563306438193</v>
      </c>
      <c r="E68">
        <f t="shared" si="4"/>
        <v>55.317347937275827</v>
      </c>
      <c r="F68">
        <f t="shared" si="5"/>
        <v>3.8934439630547039E-2</v>
      </c>
    </row>
    <row r="69" spans="1:6" ht="12.75" customHeight="1">
      <c r="A69" s="3">
        <v>71.900000000000006</v>
      </c>
      <c r="B69" s="5">
        <v>3.751048034820188</v>
      </c>
      <c r="C69" s="1">
        <v>5637</v>
      </c>
      <c r="D69">
        <f t="shared" si="3"/>
        <v>68.955027624017788</v>
      </c>
      <c r="E69">
        <f t="shared" si="4"/>
        <v>8.6728622952983496</v>
      </c>
      <c r="F69">
        <f t="shared" si="5"/>
        <v>3.8357934571611962E-2</v>
      </c>
    </row>
    <row r="70" spans="1:6" ht="12.75" customHeight="1">
      <c r="A70" s="5">
        <v>70</v>
      </c>
      <c r="B70" s="5">
        <v>3.7786576319473553</v>
      </c>
      <c r="C70" s="1">
        <v>6007</v>
      </c>
      <c r="D70">
        <f t="shared" si="3"/>
        <v>69.283870826223165</v>
      </c>
      <c r="E70">
        <f t="shared" si="4"/>
        <v>0.51284099353429258</v>
      </c>
      <c r="F70">
        <f t="shared" si="5"/>
        <v>2.8305444847892023E-2</v>
      </c>
    </row>
    <row r="71" spans="1:6" ht="12.75" customHeight="1">
      <c r="A71" s="3">
        <v>64</v>
      </c>
      <c r="B71" s="5">
        <v>3.7808211758534731</v>
      </c>
      <c r="C71" s="1">
        <v>6037</v>
      </c>
      <c r="D71">
        <f t="shared" si="3"/>
        <v>69.309639645048108</v>
      </c>
      <c r="E71">
        <f t="shared" si="4"/>
        <v>28.192273160266598</v>
      </c>
      <c r="F71">
        <f t="shared" si="5"/>
        <v>2.7582126907150631E-2</v>
      </c>
    </row>
    <row r="72" spans="1:6" ht="12.75" customHeight="1">
      <c r="A72" s="5">
        <v>50.7</v>
      </c>
      <c r="B72" s="5">
        <v>3.7878853509409245</v>
      </c>
      <c r="C72" s="1">
        <v>6136</v>
      </c>
      <c r="D72">
        <f t="shared" si="3"/>
        <v>69.393777271033642</v>
      </c>
      <c r="E72">
        <f t="shared" si="4"/>
        <v>349.4573086590139</v>
      </c>
      <c r="F72">
        <f t="shared" si="5"/>
        <v>2.5285611773571963E-2</v>
      </c>
    </row>
    <row r="73" spans="1:6" ht="12.75" customHeight="1">
      <c r="A73" s="3">
        <v>74.2</v>
      </c>
      <c r="B73" s="5">
        <v>3.7937205568135233</v>
      </c>
      <c r="C73" s="1">
        <v>6219</v>
      </c>
      <c r="D73">
        <f t="shared" si="3"/>
        <v>69.4632772994417</v>
      </c>
      <c r="E73">
        <f t="shared" si="4"/>
        <v>22.436541941984345</v>
      </c>
      <c r="F73">
        <f t="shared" si="5"/>
        <v>2.3463896692019159E-2</v>
      </c>
    </row>
    <row r="74" spans="1:6" ht="12.75" customHeight="1">
      <c r="A74" s="3">
        <v>72.900000000000006</v>
      </c>
      <c r="B74" s="5">
        <v>3.8241909406525831</v>
      </c>
      <c r="C74" s="1">
        <v>6671</v>
      </c>
      <c r="D74">
        <f t="shared" si="3"/>
        <v>69.826193808071352</v>
      </c>
      <c r="E74">
        <f t="shared" si="4"/>
        <v>9.4482845055389308</v>
      </c>
      <c r="F74">
        <f t="shared" si="5"/>
        <v>1.5057477098858628E-2</v>
      </c>
    </row>
    <row r="75" spans="1:6" ht="12.75" customHeight="1">
      <c r="A75" s="5">
        <v>74.3</v>
      </c>
      <c r="B75" s="5">
        <v>3.8329557506045986</v>
      </c>
      <c r="C75" s="1">
        <v>6807</v>
      </c>
      <c r="D75">
        <f t="shared" si="3"/>
        <v>69.930586789905419</v>
      </c>
      <c r="E75">
        <f t="shared" si="4"/>
        <v>19.091771800549004</v>
      </c>
      <c r="F75">
        <f t="shared" si="5"/>
        <v>1.2983258405111065E-2</v>
      </c>
    </row>
    <row r="76" spans="1:6" ht="12.75" customHeight="1">
      <c r="A76" s="3">
        <v>72.3</v>
      </c>
      <c r="B76" s="5">
        <v>3.8447256279732258</v>
      </c>
      <c r="C76" s="1">
        <v>6994</v>
      </c>
      <c r="D76">
        <f t="shared" si="3"/>
        <v>70.070771528771289</v>
      </c>
      <c r="E76">
        <f t="shared" si="4"/>
        <v>4.9694595769366847</v>
      </c>
      <c r="F76">
        <f t="shared" si="5"/>
        <v>1.0439572201013606E-2</v>
      </c>
    </row>
    <row r="77" spans="1:6" ht="12.75" customHeight="1">
      <c r="A77" s="5">
        <v>73.7</v>
      </c>
      <c r="B77" s="5">
        <v>3.8580557180503643</v>
      </c>
      <c r="C77" s="1">
        <v>7212</v>
      </c>
      <c r="D77">
        <f t="shared" si="3"/>
        <v>70.229539129995686</v>
      </c>
      <c r="E77">
        <f t="shared" si="4"/>
        <v>12.044098650231119</v>
      </c>
      <c r="F77">
        <f t="shared" si="5"/>
        <v>7.8932802638131804E-3</v>
      </c>
    </row>
    <row r="78" spans="1:6" ht="12.75" customHeight="1">
      <c r="A78" s="3">
        <v>60.4</v>
      </c>
      <c r="B78" s="5">
        <v>3.8600383898071935</v>
      </c>
      <c r="C78" s="1">
        <v>7245</v>
      </c>
      <c r="D78">
        <f t="shared" si="3"/>
        <v>70.253153677011156</v>
      </c>
      <c r="E78">
        <f t="shared" si="4"/>
        <v>97.084637382798491</v>
      </c>
      <c r="F78">
        <f t="shared" si="5"/>
        <v>7.5449137380005421E-3</v>
      </c>
    </row>
    <row r="79" spans="1:6" ht="12.75" customHeight="1">
      <c r="A79" s="3">
        <v>73.8</v>
      </c>
      <c r="B79" s="5">
        <v>3.8623699371228826</v>
      </c>
      <c r="C79" s="1">
        <v>7284</v>
      </c>
      <c r="D79">
        <f t="shared" si="3"/>
        <v>70.280923494942698</v>
      </c>
      <c r="E79">
        <f t="shared" si="4"/>
        <v>12.383899448446295</v>
      </c>
      <c r="F79">
        <f t="shared" si="5"/>
        <v>7.1453066295397777E-3</v>
      </c>
    </row>
    <row r="80" spans="1:6" ht="12.75" customHeight="1">
      <c r="A80" s="3">
        <v>69.400000000000006</v>
      </c>
      <c r="B80" s="5">
        <v>3.8669958131106479</v>
      </c>
      <c r="C80" s="1">
        <v>7362</v>
      </c>
      <c r="D80">
        <f t="shared" si="3"/>
        <v>70.336019839370152</v>
      </c>
      <c r="E80">
        <f t="shared" si="4"/>
        <v>0.87613313969451512</v>
      </c>
      <c r="F80">
        <f t="shared" si="5"/>
        <v>6.3846555446489114E-3</v>
      </c>
    </row>
    <row r="81" spans="1:6" ht="12.75" customHeight="1">
      <c r="A81" s="3">
        <v>73.900000000000006</v>
      </c>
      <c r="B81" s="5">
        <v>3.8719813538433692</v>
      </c>
      <c r="C81" s="1">
        <v>7447</v>
      </c>
      <c r="D81">
        <f t="shared" si="3"/>
        <v>70.395399958961249</v>
      </c>
      <c r="E81">
        <f t="shared" si="4"/>
        <v>12.282221447648853</v>
      </c>
      <c r="F81">
        <f t="shared" si="5"/>
        <v>5.6127814727613533E-3</v>
      </c>
    </row>
    <row r="82" spans="1:6" ht="12.75" customHeight="1">
      <c r="A82" s="3">
        <v>66.099999999999994</v>
      </c>
      <c r="B82" s="5">
        <v>3.8766796104192003</v>
      </c>
      <c r="C82" s="1">
        <v>7528</v>
      </c>
      <c r="D82">
        <f t="shared" si="3"/>
        <v>70.451358390011961</v>
      </c>
      <c r="E82">
        <f t="shared" si="4"/>
        <v>18.934319838327539</v>
      </c>
      <c r="F82">
        <f t="shared" si="5"/>
        <v>4.9308824276897856E-3</v>
      </c>
    </row>
    <row r="83" spans="1:6" ht="12.75" customHeight="1">
      <c r="A83" s="5">
        <v>64.7</v>
      </c>
      <c r="B83" s="5">
        <v>3.9172954009456893</v>
      </c>
      <c r="C83" s="1">
        <v>8266</v>
      </c>
      <c r="D83">
        <f t="shared" si="3"/>
        <v>70.935111432670112</v>
      </c>
      <c r="E83">
        <f t="shared" si="4"/>
        <v>38.876614577813505</v>
      </c>
      <c r="F83">
        <f t="shared" si="5"/>
        <v>8.7642356439658652E-4</v>
      </c>
    </row>
    <row r="84" spans="1:6" ht="12.75" customHeight="1">
      <c r="A84" s="5">
        <v>71.7</v>
      </c>
      <c r="B84" s="5">
        <v>3.9208534961212593</v>
      </c>
      <c r="C84" s="1">
        <v>8334</v>
      </c>
      <c r="D84">
        <f t="shared" si="3"/>
        <v>70.977490008710078</v>
      </c>
      <c r="E84">
        <f t="shared" si="4"/>
        <v>0.52202068751376796</v>
      </c>
      <c r="F84">
        <f t="shared" si="5"/>
        <v>6.7841269166325432E-4</v>
      </c>
    </row>
    <row r="85" spans="1:6" ht="12.75" customHeight="1">
      <c r="A85" s="3">
        <v>75.5</v>
      </c>
      <c r="B85" s="5">
        <v>3.9242792860618816</v>
      </c>
      <c r="C85" s="1">
        <v>8400</v>
      </c>
      <c r="D85">
        <f t="shared" si="3"/>
        <v>71.018292767582949</v>
      </c>
      <c r="E85">
        <f t="shared" si="4"/>
        <v>20.085699717099303</v>
      </c>
      <c r="F85">
        <f t="shared" si="5"/>
        <v>5.116900355822061E-4</v>
      </c>
    </row>
    <row r="86" spans="1:6" ht="12.75" customHeight="1">
      <c r="A86" s="3">
        <v>70</v>
      </c>
      <c r="B86" s="5">
        <v>3.9243826772019732</v>
      </c>
      <c r="C86" s="1">
        <v>8402</v>
      </c>
      <c r="D86">
        <f t="shared" si="3"/>
        <v>71.019524204370327</v>
      </c>
      <c r="E86">
        <f t="shared" si="4"/>
        <v>1.0394296032969492</v>
      </c>
      <c r="F86">
        <f t="shared" si="5"/>
        <v>5.0702319295906279E-4</v>
      </c>
    </row>
    <row r="87" spans="1:6" ht="12.75" customHeight="1">
      <c r="A87" s="5">
        <v>76.099999999999994</v>
      </c>
      <c r="B87" s="5">
        <v>3.9333354100776514</v>
      </c>
      <c r="C87" s="1">
        <v>8577</v>
      </c>
      <c r="D87">
        <f t="shared" si="3"/>
        <v>71.126155436031098</v>
      </c>
      <c r="E87">
        <f t="shared" si="4"/>
        <v>24.739129746522938</v>
      </c>
      <c r="F87">
        <f t="shared" si="5"/>
        <v>1.8399410398638419E-4</v>
      </c>
    </row>
    <row r="88" spans="1:6" ht="12.75" customHeight="1">
      <c r="A88" s="3">
        <v>70.5</v>
      </c>
      <c r="B88" s="5">
        <v>3.9466487339066765</v>
      </c>
      <c r="C88" s="1">
        <v>8844</v>
      </c>
      <c r="D88">
        <f t="shared" si="3"/>
        <v>71.284723343406526</v>
      </c>
      <c r="E88">
        <f t="shared" si="4"/>
        <v>0.61579072568711646</v>
      </c>
      <c r="F88">
        <f t="shared" si="5"/>
        <v>6.3060654495427281E-8</v>
      </c>
    </row>
    <row r="89" spans="1:6" ht="12.75" customHeight="1">
      <c r="A89" s="3">
        <v>77.5</v>
      </c>
      <c r="B89" s="5">
        <v>3.9608511537196862</v>
      </c>
      <c r="C89" s="1">
        <v>9138</v>
      </c>
      <c r="D89">
        <f t="shared" si="3"/>
        <v>71.453880799376051</v>
      </c>
      <c r="E89">
        <f t="shared" si="4"/>
        <v>36.555557388153574</v>
      </c>
      <c r="F89">
        <f t="shared" si="5"/>
        <v>1.9463879980104881E-4</v>
      </c>
    </row>
    <row r="90" spans="1:6" ht="12.75" customHeight="1">
      <c r="A90" s="5">
        <v>60.6</v>
      </c>
      <c r="B90" s="5">
        <v>3.9652957958116564</v>
      </c>
      <c r="C90" s="1">
        <v>9232</v>
      </c>
      <c r="D90">
        <f t="shared" si="3"/>
        <v>71.506818563424119</v>
      </c>
      <c r="E90">
        <f t="shared" si="4"/>
        <v>118.95869117545293</v>
      </c>
      <c r="F90">
        <f t="shared" si="5"/>
        <v>3.3841072251786003E-4</v>
      </c>
    </row>
    <row r="91" spans="1:6" ht="12.75" customHeight="1">
      <c r="A91" s="3">
        <v>75.8</v>
      </c>
      <c r="B91" s="5">
        <v>3.9698350930757975</v>
      </c>
      <c r="C91" s="1">
        <v>9329</v>
      </c>
      <c r="D91">
        <f t="shared" si="3"/>
        <v>71.560883714799814</v>
      </c>
      <c r="E91">
        <f t="shared" si="4"/>
        <v>17.970106879449396</v>
      </c>
      <c r="F91">
        <f t="shared" si="5"/>
        <v>5.2602525053527434E-4</v>
      </c>
    </row>
    <row r="92" spans="1:6" ht="12.75" customHeight="1">
      <c r="A92" s="3">
        <v>74.400000000000006</v>
      </c>
      <c r="B92" s="5">
        <v>3.9878896099977452</v>
      </c>
      <c r="C92" s="1">
        <v>9725</v>
      </c>
      <c r="D92">
        <f t="shared" si="3"/>
        <v>71.775921447206358</v>
      </c>
      <c r="E92">
        <f t="shared" si="4"/>
        <v>6.8857882512316069</v>
      </c>
      <c r="F92">
        <f t="shared" si="5"/>
        <v>1.6801602023266235E-3</v>
      </c>
    </row>
    <row r="93" spans="1:6" ht="12.75" customHeight="1">
      <c r="A93" s="3">
        <v>74.8</v>
      </c>
      <c r="B93" s="5">
        <v>3.9954596866210643</v>
      </c>
      <c r="C93" s="1">
        <v>9896</v>
      </c>
      <c r="D93">
        <f t="shared" si="3"/>
        <v>71.866084596863573</v>
      </c>
      <c r="E93">
        <f t="shared" si="4"/>
        <v>8.6078595927611676</v>
      </c>
      <c r="F93">
        <f t="shared" si="5"/>
        <v>2.358057469254968E-3</v>
      </c>
    </row>
    <row r="94" spans="1:6" ht="12.75" customHeight="1">
      <c r="A94" s="5">
        <v>74.5</v>
      </c>
      <c r="B94" s="5">
        <v>4.0038911662369108</v>
      </c>
      <c r="C94" s="1">
        <v>10090</v>
      </c>
      <c r="D94">
        <f t="shared" si="3"/>
        <v>71.966507458647243</v>
      </c>
      <c r="E94">
        <f t="shared" si="4"/>
        <v>6.4185844570900521</v>
      </c>
      <c r="F94">
        <f t="shared" si="5"/>
        <v>3.2480098172700954E-3</v>
      </c>
    </row>
    <row r="95" spans="1:6" ht="12.75" customHeight="1">
      <c r="A95" s="5">
        <v>72.7</v>
      </c>
      <c r="B95" s="5">
        <v>4.008003671840159</v>
      </c>
      <c r="C95" s="1">
        <v>10186</v>
      </c>
      <c r="D95">
        <f t="shared" si="3"/>
        <v>72.015489321925827</v>
      </c>
      <c r="E95">
        <f t="shared" si="4"/>
        <v>0.46855486839756805</v>
      </c>
      <c r="F95">
        <f t="shared" si="5"/>
        <v>3.7336767120204196E-3</v>
      </c>
    </row>
    <row r="96" spans="1:6" ht="12.75" customHeight="1">
      <c r="A96" s="3">
        <v>70.900000000000006</v>
      </c>
      <c r="B96" s="5">
        <v>4.0248139326293106</v>
      </c>
      <c r="C96" s="1">
        <v>10588</v>
      </c>
      <c r="D96">
        <f t="shared" si="3"/>
        <v>72.215707382419453</v>
      </c>
      <c r="E96">
        <f t="shared" si="4"/>
        <v>1.7310859161530328</v>
      </c>
      <c r="F96">
        <f t="shared" si="5"/>
        <v>6.0706038493274633E-3</v>
      </c>
    </row>
    <row r="97" spans="1:6" ht="12.75" customHeight="1">
      <c r="A97" s="5">
        <v>77.099999999999994</v>
      </c>
      <c r="B97" s="5">
        <v>4.0257972413102916</v>
      </c>
      <c r="C97" s="1">
        <v>10612</v>
      </c>
      <c r="D97">
        <f t="shared" si="3"/>
        <v>72.227419048255086</v>
      </c>
      <c r="E97">
        <f t="shared" si="4"/>
        <v>23.742045131307311</v>
      </c>
      <c r="F97">
        <f t="shared" si="5"/>
        <v>6.2247979275958029E-3</v>
      </c>
    </row>
    <row r="98" spans="1:6" ht="12.75" customHeight="1">
      <c r="A98" s="3">
        <v>76.5</v>
      </c>
      <c r="B98" s="5">
        <v>4.0316507935512638</v>
      </c>
      <c r="C98" s="1">
        <v>10756</v>
      </c>
      <c r="D98">
        <f t="shared" si="3"/>
        <v>72.297137590482706</v>
      </c>
      <c r="E98">
        <f t="shared" si="4"/>
        <v>17.664052433333516</v>
      </c>
      <c r="F98">
        <f t="shared" si="5"/>
        <v>7.1827219731038323E-3</v>
      </c>
    </row>
    <row r="99" spans="1:6" ht="12.75" customHeight="1">
      <c r="A99" s="3">
        <v>73.599999999999994</v>
      </c>
      <c r="B99" s="5">
        <v>4.0397709269315794</v>
      </c>
      <c r="C99" s="1">
        <v>10959</v>
      </c>
      <c r="D99">
        <f t="shared" si="3"/>
        <v>72.393852173126504</v>
      </c>
      <c r="E99">
        <f t="shared" si="4"/>
        <v>1.4547925802716428</v>
      </c>
      <c r="F99">
        <f t="shared" si="5"/>
        <v>8.62503642665856E-3</v>
      </c>
    </row>
    <row r="100" spans="1:6" ht="12.75" customHeight="1">
      <c r="A100" s="5">
        <v>79.3</v>
      </c>
      <c r="B100" s="5">
        <v>4.0422604066894516</v>
      </c>
      <c r="C100" s="1">
        <v>11022</v>
      </c>
      <c r="D100">
        <f t="shared" si="3"/>
        <v>72.423503040237449</v>
      </c>
      <c r="E100">
        <f t="shared" si="4"/>
        <v>47.286210437623566</v>
      </c>
      <c r="F100">
        <f t="shared" si="5"/>
        <v>9.093635254845335E-3</v>
      </c>
    </row>
    <row r="101" spans="1:6" ht="12.75" customHeight="1">
      <c r="A101" s="3">
        <v>78.099999999999994</v>
      </c>
      <c r="B101" s="5">
        <v>4.0542682395471878</v>
      </c>
      <c r="C101" s="1">
        <v>11331</v>
      </c>
      <c r="D101">
        <f t="shared" si="3"/>
        <v>72.566521940161891</v>
      </c>
      <c r="E101">
        <f t="shared" si="4"/>
        <v>30.619379438709657</v>
      </c>
      <c r="F101">
        <f t="shared" si="5"/>
        <v>1.1527970491544229E-2</v>
      </c>
    </row>
    <row r="102" spans="1:6" ht="12.75" customHeight="1">
      <c r="A102" s="3">
        <v>71.5</v>
      </c>
      <c r="B102" s="5">
        <v>4.0610753236297921</v>
      </c>
      <c r="C102" s="1">
        <v>11510</v>
      </c>
      <c r="D102">
        <f t="shared" si="3"/>
        <v>72.647597492155455</v>
      </c>
      <c r="E102">
        <f t="shared" si="4"/>
        <v>1.3169800040014903</v>
      </c>
      <c r="F102">
        <f t="shared" si="5"/>
        <v>1.3036038159250335E-2</v>
      </c>
    </row>
    <row r="103" spans="1:6" ht="12.75" customHeight="1">
      <c r="A103" s="5">
        <v>77.099999999999994</v>
      </c>
      <c r="B103" s="5">
        <v>4.0631080829986201</v>
      </c>
      <c r="C103" s="1">
        <v>11564</v>
      </c>
      <c r="D103">
        <f t="shared" si="3"/>
        <v>72.671808606032982</v>
      </c>
      <c r="E103">
        <f t="shared" si="4"/>
        <v>19.608879021603506</v>
      </c>
      <c r="F103">
        <f t="shared" si="5"/>
        <v>1.3504352786298015E-2</v>
      </c>
    </row>
    <row r="104" spans="1:6" ht="12.75" customHeight="1">
      <c r="A104" s="5">
        <v>77.7</v>
      </c>
      <c r="B104" s="5">
        <v>4.0647573994296797</v>
      </c>
      <c r="C104" s="1">
        <v>11608</v>
      </c>
      <c r="D104">
        <f t="shared" si="3"/>
        <v>72.69145273536023</v>
      </c>
      <c r="E104">
        <f t="shared" si="4"/>
        <v>25.085545702130556</v>
      </c>
      <c r="F104">
        <f t="shared" si="5"/>
        <v>1.3890401318259225E-2</v>
      </c>
    </row>
    <row r="105" spans="1:6" ht="12.75" customHeight="1">
      <c r="A105" s="5">
        <v>76.599999999999994</v>
      </c>
      <c r="B105" s="5">
        <v>4.0673684709152687</v>
      </c>
      <c r="C105" s="1">
        <v>11678</v>
      </c>
      <c r="D105">
        <f t="shared" si="3"/>
        <v>72.722551816761296</v>
      </c>
      <c r="E105">
        <f t="shared" si="4"/>
        <v>15.034604413701082</v>
      </c>
      <c r="F105">
        <f t="shared" si="5"/>
        <v>1.451268797175295E-2</v>
      </c>
    </row>
    <row r="106" spans="1:6" ht="12.75" customHeight="1">
      <c r="A106" s="3">
        <v>75.599999999999994</v>
      </c>
      <c r="B106" s="5">
        <v>4.068334313117254</v>
      </c>
      <c r="C106" s="1">
        <v>11704</v>
      </c>
      <c r="D106">
        <f t="shared" si="3"/>
        <v>72.734055448670986</v>
      </c>
      <c r="E106">
        <f t="shared" si="4"/>
        <v>8.2136381712924287</v>
      </c>
      <c r="F106">
        <f t="shared" si="5"/>
        <v>1.4746328173862828E-2</v>
      </c>
    </row>
    <row r="107" spans="1:6" ht="12.75" customHeight="1">
      <c r="A107" s="5">
        <v>60.4</v>
      </c>
      <c r="B107" s="5">
        <v>4.0784205649140004</v>
      </c>
      <c r="C107" s="1">
        <v>11979</v>
      </c>
      <c r="D107">
        <f t="shared" si="3"/>
        <v>72.854187420311675</v>
      </c>
      <c r="E107">
        <f t="shared" si="4"/>
        <v>155.10678430024961</v>
      </c>
      <c r="F107">
        <f t="shared" si="5"/>
        <v>1.729769773806469E-2</v>
      </c>
    </row>
    <row r="108" spans="1:6" ht="12.75" customHeight="1">
      <c r="A108" s="5">
        <v>67.5</v>
      </c>
      <c r="B108" s="5">
        <v>4.0941915249095322</v>
      </c>
      <c r="C108" s="1">
        <v>12422</v>
      </c>
      <c r="D108">
        <f t="shared" si="3"/>
        <v>73.042026922746146</v>
      </c>
      <c r="E108">
        <f t="shared" si="4"/>
        <v>30.714062412443116</v>
      </c>
      <c r="F108">
        <f t="shared" si="5"/>
        <v>2.169483669868175E-2</v>
      </c>
    </row>
    <row r="109" spans="1:6" ht="12.75" customHeight="1">
      <c r="A109" s="3">
        <v>76.3</v>
      </c>
      <c r="B109" s="5">
        <v>4.1055783040520373</v>
      </c>
      <c r="C109" s="1">
        <v>12752</v>
      </c>
      <c r="D109">
        <f t="shared" si="3"/>
        <v>73.17764878273853</v>
      </c>
      <c r="E109">
        <f t="shared" si="4"/>
        <v>9.7490771239341676</v>
      </c>
      <c r="F109">
        <f t="shared" si="5"/>
        <v>2.5178850919604135E-2</v>
      </c>
    </row>
    <row r="110" spans="1:6" ht="12.75" customHeight="1">
      <c r="A110" s="3">
        <v>79.8</v>
      </c>
      <c r="B110" s="5">
        <v>4.1174701636201201</v>
      </c>
      <c r="C110" s="1">
        <v>13106</v>
      </c>
      <c r="D110">
        <f t="shared" si="3"/>
        <v>73.31928638659538</v>
      </c>
      <c r="E110">
        <f t="shared" si="4"/>
        <v>41.999648938967937</v>
      </c>
      <c r="F110">
        <f t="shared" si="5"/>
        <v>2.9094230963219177E-2</v>
      </c>
    </row>
    <row r="111" spans="1:6" ht="12.75" customHeight="1">
      <c r="A111" s="5">
        <v>74.900000000000006</v>
      </c>
      <c r="B111" s="5">
        <v>4.1324838250005618</v>
      </c>
      <c r="C111" s="1">
        <v>13567</v>
      </c>
      <c r="D111">
        <f t="shared" si="3"/>
        <v>73.498106108680844</v>
      </c>
      <c r="E111">
        <f t="shared" si="4"/>
        <v>1.965306482517982</v>
      </c>
      <c r="F111">
        <f t="shared" si="5"/>
        <v>3.4441410770321618E-2</v>
      </c>
    </row>
    <row r="112" spans="1:6" ht="12.75" customHeight="1">
      <c r="A112" s="5">
        <v>75.599999999999994</v>
      </c>
      <c r="B112" s="5">
        <v>4.1379867327235313</v>
      </c>
      <c r="C112" s="1">
        <v>13740</v>
      </c>
      <c r="D112">
        <f t="shared" si="3"/>
        <v>73.563648310862447</v>
      </c>
      <c r="E112">
        <f t="shared" si="4"/>
        <v>4.1467282018533398</v>
      </c>
      <c r="F112">
        <f t="shared" si="5"/>
        <v>3.6514195712458959E-2</v>
      </c>
    </row>
    <row r="113" spans="1:6" ht="12.75" customHeight="1">
      <c r="A113" s="3">
        <v>75</v>
      </c>
      <c r="B113" s="5">
        <v>4.1563067994940726</v>
      </c>
      <c r="C113" s="1">
        <v>14332</v>
      </c>
      <c r="D113">
        <f t="shared" si="3"/>
        <v>73.781848866042338</v>
      </c>
      <c r="E113">
        <f t="shared" si="4"/>
        <v>1.4838921851623368</v>
      </c>
      <c r="F113">
        <f t="shared" si="5"/>
        <v>4.3851269360499448E-2</v>
      </c>
    </row>
    <row r="114" spans="1:6" ht="12.75" customHeight="1">
      <c r="A114" s="3">
        <v>65.8</v>
      </c>
      <c r="B114" s="5">
        <v>4.1583021692280226</v>
      </c>
      <c r="C114" s="1">
        <v>14398</v>
      </c>
      <c r="D114">
        <f t="shared" si="3"/>
        <v>73.805614651898381</v>
      </c>
      <c r="E114">
        <f t="shared" si="4"/>
        <v>64.089865954690083</v>
      </c>
      <c r="F114">
        <f t="shared" si="5"/>
        <v>4.4690939428249442E-2</v>
      </c>
    </row>
    <row r="115" spans="1:6" ht="12.75" customHeight="1">
      <c r="A115" s="3">
        <v>71.3</v>
      </c>
      <c r="B115" s="5">
        <v>4.163608563431052</v>
      </c>
      <c r="C115" s="1">
        <v>14575</v>
      </c>
      <c r="D115">
        <f t="shared" si="3"/>
        <v>73.868816286237745</v>
      </c>
      <c r="E115">
        <f t="shared" si="4"/>
        <v>6.5988171124402966</v>
      </c>
      <c r="F115">
        <f t="shared" si="5"/>
        <v>4.6962665301420299E-2</v>
      </c>
    </row>
    <row r="116" spans="1:6" ht="12.75" customHeight="1">
      <c r="A116" s="3">
        <v>78.3</v>
      </c>
      <c r="B116" s="5">
        <v>4.1726029312098598</v>
      </c>
      <c r="C116" s="1">
        <v>14880</v>
      </c>
      <c r="D116">
        <f t="shared" si="3"/>
        <v>73.975943409048426</v>
      </c>
      <c r="E116">
        <f t="shared" si="4"/>
        <v>18.697465401751721</v>
      </c>
      <c r="F116">
        <f t="shared" si="5"/>
        <v>5.0941879643313717E-2</v>
      </c>
    </row>
    <row r="117" spans="1:6" ht="12.75" customHeight="1">
      <c r="A117" s="3">
        <v>75.599999999999994</v>
      </c>
      <c r="B117" s="5">
        <v>4.1857404175749622</v>
      </c>
      <c r="C117" s="1">
        <v>15337</v>
      </c>
      <c r="D117">
        <f t="shared" si="3"/>
        <v>74.132417010069531</v>
      </c>
      <c r="E117">
        <f t="shared" si="4"/>
        <v>2.1537998323332377</v>
      </c>
      <c r="F117">
        <f t="shared" si="5"/>
        <v>5.7044815423955827E-2</v>
      </c>
    </row>
    <row r="118" spans="1:6" ht="12.75" customHeight="1">
      <c r="A118" s="5">
        <v>70.099999999999994</v>
      </c>
      <c r="B118" s="5">
        <v>4.1874361097737083</v>
      </c>
      <c r="C118" s="1">
        <v>15397</v>
      </c>
      <c r="D118">
        <f t="shared" si="3"/>
        <v>74.152613496458741</v>
      </c>
      <c r="E118">
        <f t="shared" si="4"/>
        <v>16.42367615167959</v>
      </c>
      <c r="F118">
        <f t="shared" si="5"/>
        <v>5.785769096115246E-2</v>
      </c>
    </row>
    <row r="119" spans="1:6" ht="12.75" customHeight="1">
      <c r="A119" s="3">
        <v>74.5</v>
      </c>
      <c r="B119" s="5">
        <v>4.1962038286211483</v>
      </c>
      <c r="C119" s="1">
        <v>15711</v>
      </c>
      <c r="D119">
        <f t="shared" si="3"/>
        <v>74.257041124596469</v>
      </c>
      <c r="E119">
        <f t="shared" si="4"/>
        <v>5.9029015137348394E-2</v>
      </c>
      <c r="F119">
        <f t="shared" si="5"/>
        <v>6.2152472404001652E-2</v>
      </c>
    </row>
    <row r="120" spans="1:6" ht="12.75" customHeight="1">
      <c r="A120" s="3">
        <v>72.3</v>
      </c>
      <c r="B120" s="5">
        <v>4.2008231487109304</v>
      </c>
      <c r="C120" s="1">
        <v>15879</v>
      </c>
      <c r="D120">
        <f t="shared" si="3"/>
        <v>74.312059385215747</v>
      </c>
      <c r="E120">
        <f t="shared" si="4"/>
        <v>4.0483829696347806</v>
      </c>
      <c r="F120">
        <f t="shared" si="5"/>
        <v>6.4477040250850923E-2</v>
      </c>
    </row>
    <row r="121" spans="1:6" ht="12.75" customHeight="1">
      <c r="A121" s="5">
        <v>75.5</v>
      </c>
      <c r="B121" s="5">
        <v>4.2087905865482984</v>
      </c>
      <c r="C121" s="1">
        <v>16173</v>
      </c>
      <c r="D121">
        <f t="shared" si="3"/>
        <v>74.406955292596962</v>
      </c>
      <c r="E121">
        <f t="shared" si="4"/>
        <v>1.1947467323817935</v>
      </c>
      <c r="F121">
        <f t="shared" si="5"/>
        <v>6.858675646920194E-2</v>
      </c>
    </row>
    <row r="122" spans="1:6" ht="12.75" customHeight="1">
      <c r="A122" s="5">
        <v>73.3</v>
      </c>
      <c r="B122" s="5">
        <v>4.209112703738592</v>
      </c>
      <c r="C122" s="1">
        <v>16185</v>
      </c>
      <c r="D122">
        <f t="shared" si="3"/>
        <v>74.410791858840696</v>
      </c>
      <c r="E122">
        <f t="shared" si="4"/>
        <v>1.233858553666775</v>
      </c>
      <c r="F122">
        <f t="shared" si="5"/>
        <v>6.8755579243380646E-2</v>
      </c>
    </row>
    <row r="123" spans="1:6" ht="12.75" customHeight="1">
      <c r="A123" s="5">
        <v>78.3</v>
      </c>
      <c r="B123" s="5">
        <v>4.2181414681576781</v>
      </c>
      <c r="C123" s="1">
        <v>16525</v>
      </c>
      <c r="D123">
        <f t="shared" si="3"/>
        <v>74.51832866170875</v>
      </c>
      <c r="E123">
        <f t="shared" si="4"/>
        <v>14.30103811085351</v>
      </c>
      <c r="F123">
        <f t="shared" si="5"/>
        <v>7.3572013949464124E-2</v>
      </c>
    </row>
    <row r="124" spans="1:6" ht="12.75" customHeight="1">
      <c r="A124" s="5">
        <v>77.8</v>
      </c>
      <c r="B124" s="5">
        <v>4.221440320811741</v>
      </c>
      <c r="C124" s="1">
        <v>16651</v>
      </c>
      <c r="D124">
        <f t="shared" si="3"/>
        <v>74.557619538188007</v>
      </c>
      <c r="E124">
        <f t="shared" si="4"/>
        <v>10.513031059140134</v>
      </c>
      <c r="F124">
        <f t="shared" si="5"/>
        <v>7.5372468624306507E-2</v>
      </c>
    </row>
    <row r="125" spans="1:6" ht="12.75" customHeight="1">
      <c r="A125" s="3">
        <v>70.2</v>
      </c>
      <c r="B125" s="5">
        <v>4.2283746904219068</v>
      </c>
      <c r="C125" s="1">
        <v>16919</v>
      </c>
      <c r="D125">
        <f t="shared" si="3"/>
        <v>74.640211120288228</v>
      </c>
      <c r="E125">
        <f t="shared" si="4"/>
        <v>19.715474792731218</v>
      </c>
      <c r="F125">
        <f t="shared" si="5"/>
        <v>7.9228084263696985E-2</v>
      </c>
    </row>
    <row r="126" spans="1:6" ht="12.75" customHeight="1">
      <c r="A126" s="3">
        <v>76</v>
      </c>
      <c r="B126" s="5">
        <v>4.2330215069876935</v>
      </c>
      <c r="C126" s="1">
        <v>17101</v>
      </c>
      <c r="D126">
        <f t="shared" si="3"/>
        <v>74.695556876784281</v>
      </c>
      <c r="E126">
        <f t="shared" si="4"/>
        <v>1.7015718617047806</v>
      </c>
      <c r="F126">
        <f t="shared" si="5"/>
        <v>8.1865601045336078E-2</v>
      </c>
    </row>
    <row r="127" spans="1:6" ht="12.75" customHeight="1">
      <c r="A127" s="5">
        <v>76</v>
      </c>
      <c r="B127" s="5">
        <v>4.2372671895039931</v>
      </c>
      <c r="C127" s="1">
        <v>17269</v>
      </c>
      <c r="D127">
        <f t="shared" si="3"/>
        <v>74.746124939323423</v>
      </c>
      <c r="E127">
        <f t="shared" si="4"/>
        <v>1.5722026677866907</v>
      </c>
      <c r="F127">
        <f t="shared" si="5"/>
        <v>8.4313190275549482E-2</v>
      </c>
    </row>
    <row r="128" spans="1:6" ht="12.75" customHeight="1">
      <c r="A128" s="5">
        <v>75.400000000000006</v>
      </c>
      <c r="B128" s="5">
        <v>4.24659704910637</v>
      </c>
      <c r="C128" s="1">
        <v>17644</v>
      </c>
      <c r="D128">
        <f t="shared" si="3"/>
        <v>74.857247926509402</v>
      </c>
      <c r="E128">
        <f t="shared" si="4"/>
        <v>0.29457981327834992</v>
      </c>
      <c r="F128">
        <f t="shared" si="5"/>
        <v>8.9818409526516332E-2</v>
      </c>
    </row>
    <row r="129" spans="1:6" ht="12.75" customHeight="1">
      <c r="A129" s="5">
        <v>76.900000000000006</v>
      </c>
      <c r="B129" s="5">
        <v>4.254403046390677</v>
      </c>
      <c r="C129" s="1">
        <v>17964</v>
      </c>
      <c r="D129">
        <f t="shared" si="3"/>
        <v>74.950221001471505</v>
      </c>
      <c r="E129">
        <f t="shared" si="4"/>
        <v>3.8016381431028043</v>
      </c>
      <c r="F129">
        <f t="shared" si="5"/>
        <v>9.4558214122453313E-2</v>
      </c>
    </row>
    <row r="130" spans="1:6" ht="12.75" customHeight="1">
      <c r="A130" s="3">
        <v>59.1</v>
      </c>
      <c r="B130" s="5">
        <v>4.2590201740708116</v>
      </c>
      <c r="C130" s="1">
        <v>18156</v>
      </c>
      <c r="D130">
        <f t="shared" si="3"/>
        <v>75.005213149467494</v>
      </c>
      <c r="E130">
        <f t="shared" si="4"/>
        <v>252.97580532999362</v>
      </c>
      <c r="F130">
        <f t="shared" si="5"/>
        <v>9.7419095004993184E-2</v>
      </c>
    </row>
    <row r="131" spans="1:6" ht="12.75" customHeight="1">
      <c r="A131" s="5">
        <v>76.3</v>
      </c>
      <c r="B131" s="5">
        <v>4.2590919286322144</v>
      </c>
      <c r="C131" s="1">
        <v>18159</v>
      </c>
      <c r="D131">
        <f t="shared" ref="D131:D190" si="6">$I$22+B131*$I$23</f>
        <v>75.006067779820697</v>
      </c>
      <c r="E131">
        <f t="shared" ref="E131:E190" si="7">(D131-A131)^2</f>
        <v>1.6742605904181336</v>
      </c>
      <c r="F131">
        <f t="shared" ref="F131:F190" si="8">(B131-$H$43)^2</f>
        <v>9.746389226723827E-2</v>
      </c>
    </row>
    <row r="132" spans="1:6" ht="12.75" customHeight="1">
      <c r="A132" s="3">
        <v>78.3</v>
      </c>
      <c r="B132" s="5">
        <v>4.2873313627205771</v>
      </c>
      <c r="C132" s="1">
        <v>19379</v>
      </c>
      <c r="D132">
        <f t="shared" si="6"/>
        <v>75.34241263452148</v>
      </c>
      <c r="E132">
        <f t="shared" si="7"/>
        <v>8.7473230244381543</v>
      </c>
      <c r="F132">
        <f t="shared" si="8"/>
        <v>0.11589361300657311</v>
      </c>
    </row>
    <row r="133" spans="1:6" ht="12.75" customHeight="1">
      <c r="A133" s="3">
        <v>77.8</v>
      </c>
      <c r="B133" s="5">
        <v>4.2990058164506371</v>
      </c>
      <c r="C133" s="1">
        <v>19907</v>
      </c>
      <c r="D133">
        <f t="shared" si="6"/>
        <v>75.481460833265885</v>
      </c>
      <c r="E133">
        <f t="shared" si="7"/>
        <v>5.3756238676801109</v>
      </c>
      <c r="F133">
        <f t="shared" si="8"/>
        <v>0.12397860970016253</v>
      </c>
    </row>
    <row r="134" spans="1:6" ht="12.75" customHeight="1">
      <c r="A134" s="3">
        <v>75.2</v>
      </c>
      <c r="B134" s="5">
        <v>4.2990494465975395</v>
      </c>
      <c r="C134" s="1">
        <v>19909</v>
      </c>
      <c r="D134">
        <f t="shared" si="6"/>
        <v>75.481980488701424</v>
      </c>
      <c r="E134">
        <f t="shared" si="7"/>
        <v>7.9512996008292466E-2</v>
      </c>
      <c r="F134">
        <f t="shared" si="8"/>
        <v>0.12400933647359852</v>
      </c>
    </row>
    <row r="135" spans="1:6" ht="12.75" customHeight="1">
      <c r="A135" s="3">
        <v>79.099999999999994</v>
      </c>
      <c r="B135" s="5">
        <v>4.3238706065405088</v>
      </c>
      <c r="C135" s="1">
        <v>21080</v>
      </c>
      <c r="D135">
        <f t="shared" si="6"/>
        <v>75.777612101162219</v>
      </c>
      <c r="E135">
        <f t="shared" si="7"/>
        <v>11.038261350343685</v>
      </c>
      <c r="F135">
        <f t="shared" si="8"/>
        <v>0.14210694924187159</v>
      </c>
    </row>
    <row r="136" spans="1:6" ht="12.75" customHeight="1">
      <c r="A136" s="5">
        <v>75.3</v>
      </c>
      <c r="B136" s="5">
        <v>4.3293775372227268</v>
      </c>
      <c r="C136" s="1">
        <v>21349</v>
      </c>
      <c r="D136">
        <f t="shared" si="6"/>
        <v>75.84320221866821</v>
      </c>
      <c r="E136">
        <f t="shared" si="7"/>
        <v>0.29506865036606938</v>
      </c>
      <c r="F136">
        <f t="shared" si="8"/>
        <v>0.14628917914852207</v>
      </c>
    </row>
    <row r="137" spans="1:6" ht="12.75" customHeight="1">
      <c r="A137" s="3">
        <v>67.8</v>
      </c>
      <c r="B137" s="5">
        <v>4.3325192513737312</v>
      </c>
      <c r="C137" s="1">
        <v>21504</v>
      </c>
      <c r="D137">
        <f t="shared" si="6"/>
        <v>75.880621502154014</v>
      </c>
      <c r="E137">
        <f t="shared" si="7"/>
        <v>65.29644386107384</v>
      </c>
      <c r="F137">
        <f t="shared" si="8"/>
        <v>0.14870232062406882</v>
      </c>
    </row>
    <row r="138" spans="1:6" ht="12.75" customHeight="1">
      <c r="A138" s="5">
        <v>74.7</v>
      </c>
      <c r="B138" s="5">
        <v>4.3420474462586682</v>
      </c>
      <c r="C138" s="1">
        <v>21981</v>
      </c>
      <c r="D138">
        <f t="shared" si="6"/>
        <v>75.994106755226255</v>
      </c>
      <c r="E138">
        <f t="shared" si="7"/>
        <v>1.6747122939222197</v>
      </c>
      <c r="F138">
        <f t="shared" si="8"/>
        <v>0.15614162068555248</v>
      </c>
    </row>
    <row r="139" spans="1:6" ht="12.75" customHeight="1">
      <c r="A139" s="3">
        <v>75.8</v>
      </c>
      <c r="B139" s="5">
        <v>4.345569756056392</v>
      </c>
      <c r="C139" s="1">
        <v>22160</v>
      </c>
      <c r="D139">
        <f t="shared" si="6"/>
        <v>76.036059110695547</v>
      </c>
      <c r="E139">
        <f t="shared" si="7"/>
        <v>5.5723903742373758E-2</v>
      </c>
      <c r="F139">
        <f t="shared" si="8"/>
        <v>0.15893769183245487</v>
      </c>
    </row>
    <row r="140" spans="1:6" ht="12.75" customHeight="1">
      <c r="A140" s="5">
        <v>76.900000000000006</v>
      </c>
      <c r="B140" s="5">
        <v>4.3456677356353532</v>
      </c>
      <c r="C140" s="1">
        <v>22165</v>
      </c>
      <c r="D140">
        <f t="shared" si="6"/>
        <v>76.037226093261353</v>
      </c>
      <c r="E140">
        <f t="shared" si="7"/>
        <v>0.74437881414907758</v>
      </c>
      <c r="F140">
        <f t="shared" si="8"/>
        <v>0.15901582445100115</v>
      </c>
    </row>
    <row r="141" spans="1:6" ht="12.75" customHeight="1">
      <c r="A141" s="3">
        <v>72.5</v>
      </c>
      <c r="B141" s="5">
        <v>4.3579157985791301</v>
      </c>
      <c r="C141" s="1">
        <v>22799</v>
      </c>
      <c r="D141">
        <f t="shared" si="6"/>
        <v>76.183106245756633</v>
      </c>
      <c r="E141">
        <f t="shared" si="7"/>
        <v>13.565271617531522</v>
      </c>
      <c r="F141">
        <f t="shared" si="8"/>
        <v>0.16893410775687437</v>
      </c>
    </row>
    <row r="142" spans="1:6" ht="12.75" customHeight="1">
      <c r="A142" s="5">
        <v>73.3</v>
      </c>
      <c r="B142" s="5">
        <v>4.3638938977741004</v>
      </c>
      <c r="C142" s="1">
        <v>23115</v>
      </c>
      <c r="D142">
        <f t="shared" si="6"/>
        <v>76.254308200400189</v>
      </c>
      <c r="E142">
        <f t="shared" si="7"/>
        <v>8.7279369429518194</v>
      </c>
      <c r="F142">
        <f t="shared" si="8"/>
        <v>0.17388403361707316</v>
      </c>
    </row>
    <row r="143" spans="1:6" ht="12.75" customHeight="1">
      <c r="A143" s="5">
        <v>71.3</v>
      </c>
      <c r="B143" s="5">
        <v>4.366441636156833</v>
      </c>
      <c r="C143" s="1">
        <v>23251</v>
      </c>
      <c r="D143">
        <f t="shared" si="6"/>
        <v>76.284652954954211</v>
      </c>
      <c r="E143">
        <f t="shared" si="7"/>
        <v>24.846765081333778</v>
      </c>
      <c r="F143">
        <f t="shared" si="8"/>
        <v>0.17601530805589019</v>
      </c>
    </row>
    <row r="144" spans="1:6" ht="12.75" customHeight="1">
      <c r="A144" s="5">
        <v>75.599999999999994</v>
      </c>
      <c r="B144" s="5">
        <v>4.3710863424947943</v>
      </c>
      <c r="C144" s="1">
        <v>23501</v>
      </c>
      <c r="D144">
        <f t="shared" si="6"/>
        <v>76.339973577650866</v>
      </c>
      <c r="E144">
        <f t="shared" si="7"/>
        <v>0.54756089562143107</v>
      </c>
      <c r="F144">
        <f t="shared" si="8"/>
        <v>0.17993417811406573</v>
      </c>
    </row>
    <row r="145" spans="1:6" ht="12.75" customHeight="1">
      <c r="A145" s="5">
        <v>75</v>
      </c>
      <c r="B145" s="5">
        <v>4.371898694778741</v>
      </c>
      <c r="C145" s="1">
        <v>23545</v>
      </c>
      <c r="D145">
        <f t="shared" si="6"/>
        <v>76.349649072919476</v>
      </c>
      <c r="E145">
        <f t="shared" si="7"/>
        <v>1.8215526200324013</v>
      </c>
      <c r="F145">
        <f t="shared" si="8"/>
        <v>0.18062401575788739</v>
      </c>
    </row>
    <row r="146" spans="1:6" ht="12.75" customHeight="1">
      <c r="A146" s="3">
        <v>76.599999999999994</v>
      </c>
      <c r="B146" s="5">
        <v>4.3969486867163381</v>
      </c>
      <c r="C146" s="1">
        <v>24943</v>
      </c>
      <c r="D146">
        <f t="shared" si="6"/>
        <v>76.648006181356678</v>
      </c>
      <c r="E146">
        <f t="shared" si="7"/>
        <v>2.304593448450781E-3</v>
      </c>
      <c r="F146">
        <f t="shared" si="8"/>
        <v>0.20254395298847014</v>
      </c>
    </row>
    <row r="147" spans="1:6" ht="12.75" customHeight="1">
      <c r="A147" s="5">
        <v>79.8</v>
      </c>
      <c r="B147" s="5">
        <v>4.3998294166902232</v>
      </c>
      <c r="C147" s="1">
        <v>25109</v>
      </c>
      <c r="D147">
        <f t="shared" si="6"/>
        <v>76.682317021349675</v>
      </c>
      <c r="E147">
        <f t="shared" si="7"/>
        <v>9.7199471553659436</v>
      </c>
      <c r="F147">
        <f t="shared" si="8"/>
        <v>0.20514518992530803</v>
      </c>
    </row>
    <row r="148" spans="1:6" ht="12.75" customHeight="1">
      <c r="A148" s="3">
        <v>79.8</v>
      </c>
      <c r="B148" s="5">
        <v>4.4006933751232795</v>
      </c>
      <c r="C148" s="1">
        <v>25159</v>
      </c>
      <c r="D148">
        <f t="shared" si="6"/>
        <v>76.692607169966834</v>
      </c>
      <c r="E148">
        <f t="shared" si="7"/>
        <v>9.6558902001415099</v>
      </c>
      <c r="F148">
        <f t="shared" si="8"/>
        <v>0.20592856098224072</v>
      </c>
    </row>
    <row r="149" spans="1:6" ht="12.75" customHeight="1">
      <c r="A149" s="5">
        <v>76.2</v>
      </c>
      <c r="B149" s="5">
        <v>4.4069657507589479</v>
      </c>
      <c r="C149" s="1">
        <v>25525</v>
      </c>
      <c r="D149">
        <f t="shared" si="6"/>
        <v>76.767314094518042</v>
      </c>
      <c r="E149">
        <f t="shared" si="7"/>
        <v>0.32184528183882277</v>
      </c>
      <c r="F149">
        <f t="shared" si="8"/>
        <v>0.21166063054554624</v>
      </c>
    </row>
    <row r="150" spans="1:6" ht="12.75" customHeight="1">
      <c r="A150" s="3">
        <v>78.2</v>
      </c>
      <c r="B150" s="5">
        <v>4.4268852116744011</v>
      </c>
      <c r="C150" s="1">
        <v>26723</v>
      </c>
      <c r="D150">
        <f t="shared" si="6"/>
        <v>77.004564181271263</v>
      </c>
      <c r="E150">
        <f t="shared" si="7"/>
        <v>1.4290667966996522</v>
      </c>
      <c r="F150">
        <f t="shared" si="8"/>
        <v>0.23038594481805799</v>
      </c>
    </row>
    <row r="151" spans="1:6" ht="12.75" customHeight="1">
      <c r="A151" s="5">
        <v>80</v>
      </c>
      <c r="B151" s="5">
        <v>4.4372589295834572</v>
      </c>
      <c r="C151" s="1">
        <v>27369</v>
      </c>
      <c r="D151">
        <f t="shared" si="6"/>
        <v>77.128120008626411</v>
      </c>
      <c r="E151">
        <f t="shared" si="7"/>
        <v>8.2476946848519681</v>
      </c>
      <c r="F151">
        <f t="shared" si="8"/>
        <v>0.24045202427001622</v>
      </c>
    </row>
    <row r="152" spans="1:6" ht="12.75" customHeight="1">
      <c r="A152" s="5">
        <v>82.1</v>
      </c>
      <c r="B152" s="5">
        <v>4.4553930963302975</v>
      </c>
      <c r="C152" s="1">
        <v>28536</v>
      </c>
      <c r="D152">
        <f t="shared" si="6"/>
        <v>77.344106407663332</v>
      </c>
      <c r="E152">
        <f t="shared" si="7"/>
        <v>22.618523861628919</v>
      </c>
      <c r="F152">
        <f t="shared" si="8"/>
        <v>0.25856537880523789</v>
      </c>
    </row>
    <row r="153" spans="1:6" ht="12.75" customHeight="1">
      <c r="A153" s="5">
        <v>71.2</v>
      </c>
      <c r="B153" s="5">
        <v>4.4624878426357322</v>
      </c>
      <c r="C153" s="1">
        <v>29006</v>
      </c>
      <c r="D153">
        <f t="shared" si="6"/>
        <v>77.428608151139258</v>
      </c>
      <c r="E153">
        <f t="shared" si="7"/>
        <v>38.795559500438372</v>
      </c>
      <c r="F153">
        <f t="shared" si="8"/>
        <v>0.26583097535337219</v>
      </c>
    </row>
    <row r="154" spans="1:6" ht="12.75" customHeight="1">
      <c r="A154" s="3">
        <v>80.5</v>
      </c>
      <c r="B154" s="5">
        <v>4.4697484005051669</v>
      </c>
      <c r="C154" s="1">
        <v>29495</v>
      </c>
      <c r="D154">
        <f t="shared" si="6"/>
        <v>77.515084787816903</v>
      </c>
      <c r="E154">
        <f t="shared" si="7"/>
        <v>8.9097188239220628</v>
      </c>
      <c r="F154">
        <f t="shared" si="8"/>
        <v>0.27337060392919799</v>
      </c>
    </row>
    <row r="155" spans="1:6" ht="12.75" customHeight="1">
      <c r="A155" s="3">
        <v>82.2</v>
      </c>
      <c r="B155" s="5">
        <v>4.4790567839344142</v>
      </c>
      <c r="C155" s="1">
        <v>30134</v>
      </c>
      <c r="D155">
        <f t="shared" si="6"/>
        <v>77.62595198374629</v>
      </c>
      <c r="E155">
        <f t="shared" si="7"/>
        <v>20.921915254994524</v>
      </c>
      <c r="F155">
        <f t="shared" si="8"/>
        <v>0.28319099944782772</v>
      </c>
    </row>
    <row r="156" spans="1:6" ht="12.75" customHeight="1">
      <c r="A156" s="3">
        <v>82.2</v>
      </c>
      <c r="B156" s="5">
        <v>4.4842855999500104</v>
      </c>
      <c r="C156" s="1">
        <v>30499</v>
      </c>
      <c r="D156">
        <f t="shared" si="6"/>
        <v>77.688229625625382</v>
      </c>
      <c r="E156">
        <f t="shared" si="7"/>
        <v>20.356071911084502</v>
      </c>
      <c r="F156">
        <f t="shared" si="8"/>
        <v>0.28878344133432304</v>
      </c>
    </row>
    <row r="157" spans="1:6" ht="12.75" customHeight="1">
      <c r="A157" s="5">
        <v>81.7</v>
      </c>
      <c r="B157" s="5">
        <v>4.4940153747571436</v>
      </c>
      <c r="C157" s="1">
        <v>31190</v>
      </c>
      <c r="D157">
        <f t="shared" si="6"/>
        <v>77.804115789758015</v>
      </c>
      <c r="E157">
        <f t="shared" si="7"/>
        <v>15.177913779612838</v>
      </c>
      <c r="F157">
        <f t="shared" si="8"/>
        <v>0.29933539446249408</v>
      </c>
    </row>
    <row r="158" spans="1:6" ht="12.75" customHeight="1">
      <c r="A158" s="5">
        <v>80.599999999999994</v>
      </c>
      <c r="B158" s="5">
        <v>4.5073160400764136</v>
      </c>
      <c r="C158" s="1">
        <v>32160</v>
      </c>
      <c r="D158">
        <f t="shared" si="6"/>
        <v>77.962532928367636</v>
      </c>
      <c r="E158">
        <f t="shared" si="7"/>
        <v>6.9562325539449645</v>
      </c>
      <c r="F158">
        <f t="shared" si="8"/>
        <v>0.31406630305982386</v>
      </c>
    </row>
    <row r="159" spans="1:6" ht="12.75" customHeight="1">
      <c r="A159" s="3">
        <v>82.1</v>
      </c>
      <c r="B159" s="5">
        <v>4.5191846041518184</v>
      </c>
      <c r="C159" s="1">
        <v>33051</v>
      </c>
      <c r="D159">
        <f t="shared" si="6"/>
        <v>78.103893072022004</v>
      </c>
      <c r="E159">
        <f t="shared" si="7"/>
        <v>15.968870579833693</v>
      </c>
      <c r="F159">
        <f t="shared" si="8"/>
        <v>0.32750983673028794</v>
      </c>
    </row>
    <row r="160" spans="1:6" ht="12.75" customHeight="1">
      <c r="A160" s="5">
        <v>81</v>
      </c>
      <c r="B160" s="5">
        <v>4.5397909663457412</v>
      </c>
      <c r="C160" s="1">
        <v>34657</v>
      </c>
      <c r="D160">
        <f t="shared" si="6"/>
        <v>78.349324473952379</v>
      </c>
      <c r="E160">
        <f t="shared" si="7"/>
        <v>7.0260807443878326</v>
      </c>
      <c r="F160">
        <f t="shared" si="8"/>
        <v>0.35151987262560208</v>
      </c>
    </row>
    <row r="161" spans="1:6" ht="12.75" customHeight="1">
      <c r="A161" s="3">
        <v>83.3</v>
      </c>
      <c r="B161" s="5">
        <v>4.54206568075828</v>
      </c>
      <c r="C161" s="1">
        <v>34839</v>
      </c>
      <c r="D161">
        <f t="shared" si="6"/>
        <v>78.376417385452555</v>
      </c>
      <c r="E161">
        <f t="shared" si="7"/>
        <v>24.241665762273826</v>
      </c>
      <c r="F161">
        <f t="shared" si="8"/>
        <v>0.35422236287375741</v>
      </c>
    </row>
    <row r="162" spans="1:6" ht="12.75" customHeight="1">
      <c r="A162" s="3">
        <v>81.7</v>
      </c>
      <c r="B162" s="5">
        <v>4.5572304164082871</v>
      </c>
      <c r="C162" s="1">
        <v>36077</v>
      </c>
      <c r="D162">
        <f t="shared" si="6"/>
        <v>78.557036472677083</v>
      </c>
      <c r="E162">
        <f t="shared" si="7"/>
        <v>9.8782197340821281</v>
      </c>
      <c r="F162">
        <f t="shared" si="8"/>
        <v>0.37250339698156426</v>
      </c>
    </row>
    <row r="163" spans="1:6" ht="12.75" customHeight="1">
      <c r="A163" s="3">
        <v>58.8</v>
      </c>
      <c r="B163" s="5">
        <v>4.5768134032143983</v>
      </c>
      <c r="C163" s="1">
        <v>37741</v>
      </c>
      <c r="D163">
        <f t="shared" si="6"/>
        <v>78.790278995572521</v>
      </c>
      <c r="E163">
        <f t="shared" si="7"/>
        <v>399.61125432082804</v>
      </c>
      <c r="F163">
        <f t="shared" si="8"/>
        <v>0.39679108110626582</v>
      </c>
    </row>
    <row r="164" spans="1:6" ht="12.75" customHeight="1">
      <c r="A164" s="3">
        <v>80.599999999999994</v>
      </c>
      <c r="B164" s="5">
        <v>4.5802062565612767</v>
      </c>
      <c r="C164" s="1">
        <v>38037</v>
      </c>
      <c r="D164">
        <f t="shared" si="6"/>
        <v>78.830689464224491</v>
      </c>
      <c r="E164">
        <f t="shared" si="7"/>
        <v>3.1304597720061977</v>
      </c>
      <c r="F164">
        <f t="shared" si="8"/>
        <v>0.40107700115622996</v>
      </c>
    </row>
    <row r="165" spans="1:6" ht="12.75" customHeight="1">
      <c r="A165" s="3">
        <v>82.8</v>
      </c>
      <c r="B165" s="5">
        <v>4.5868460041105008</v>
      </c>
      <c r="C165" s="1">
        <v>38623</v>
      </c>
      <c r="D165">
        <f t="shared" si="6"/>
        <v>78.909771959918487</v>
      </c>
      <c r="E165">
        <f t="shared" si="7"/>
        <v>15.133874203836427</v>
      </c>
      <c r="F165">
        <f t="shared" si="8"/>
        <v>0.40953107668947691</v>
      </c>
    </row>
    <row r="166" spans="1:6" ht="12.75" customHeight="1">
      <c r="A166" s="3">
        <v>80.2</v>
      </c>
      <c r="B166" s="5">
        <v>4.5960249895230811</v>
      </c>
      <c r="C166" s="1">
        <v>39448</v>
      </c>
      <c r="D166">
        <f t="shared" si="6"/>
        <v>79.01909796500891</v>
      </c>
      <c r="E166">
        <f t="shared" si="7"/>
        <v>1.3945296162461032</v>
      </c>
      <c r="F166">
        <f t="shared" si="8"/>
        <v>0.4213634432397248</v>
      </c>
    </row>
    <row r="167" spans="1:6" ht="12.75" customHeight="1">
      <c r="A167" s="5">
        <v>79.3</v>
      </c>
      <c r="B167" s="5">
        <v>4.5963991441739873</v>
      </c>
      <c r="C167" s="1">
        <v>39482</v>
      </c>
      <c r="D167">
        <f t="shared" si="6"/>
        <v>79.023554321722742</v>
      </c>
      <c r="E167">
        <f t="shared" si="7"/>
        <v>7.6422213038171871E-2</v>
      </c>
      <c r="F167">
        <f t="shared" si="8"/>
        <v>0.4218493296093434</v>
      </c>
    </row>
    <row r="168" spans="1:6" ht="12.75" customHeight="1">
      <c r="A168" s="3">
        <v>81.5</v>
      </c>
      <c r="B168" s="5">
        <v>4.6085581231168984</v>
      </c>
      <c r="C168" s="1">
        <v>40603</v>
      </c>
      <c r="D168">
        <f t="shared" si="6"/>
        <v>79.168373442143746</v>
      </c>
      <c r="E168">
        <f t="shared" si="7"/>
        <v>5.4364824053006018</v>
      </c>
      <c r="F168">
        <f t="shared" si="8"/>
        <v>0.43779166679491627</v>
      </c>
    </row>
    <row r="169" spans="1:6" ht="12.75" customHeight="1">
      <c r="A169" s="3">
        <v>79</v>
      </c>
      <c r="B169" s="5">
        <v>4.608889576262448</v>
      </c>
      <c r="C169" s="1">
        <v>40634</v>
      </c>
      <c r="D169">
        <f t="shared" si="6"/>
        <v>79.172321203976765</v>
      </c>
      <c r="E169">
        <f t="shared" si="7"/>
        <v>2.969459734000169E-2</v>
      </c>
      <c r="F169">
        <f t="shared" si="8"/>
        <v>0.43823039408611303</v>
      </c>
    </row>
    <row r="170" spans="1:6" ht="12.75" customHeight="1">
      <c r="A170" s="4">
        <v>71.5</v>
      </c>
      <c r="B170" s="5">
        <v>4.6115852462539513</v>
      </c>
      <c r="C170" s="1">
        <v>40887</v>
      </c>
      <c r="D170">
        <f t="shared" si="6"/>
        <v>79.204427893111415</v>
      </c>
      <c r="E170">
        <f t="shared" si="7"/>
        <v>59.358209160153194</v>
      </c>
      <c r="F170">
        <f t="shared" si="8"/>
        <v>0.44180667238773197</v>
      </c>
    </row>
    <row r="171" spans="1:6" ht="12.75" customHeight="1">
      <c r="A171" s="3">
        <v>80.7</v>
      </c>
      <c r="B171" s="5">
        <v>4.6153923666841115</v>
      </c>
      <c r="C171" s="1">
        <v>41247</v>
      </c>
      <c r="D171">
        <f t="shared" si="6"/>
        <v>79.249772476289095</v>
      </c>
      <c r="E171">
        <f t="shared" si="7"/>
        <v>2.1031598705286707</v>
      </c>
      <c r="F171">
        <f t="shared" si="8"/>
        <v>0.44688224123646531</v>
      </c>
    </row>
    <row r="172" spans="1:6" ht="12.75" customHeight="1">
      <c r="A172" s="3">
        <v>79.900000000000006</v>
      </c>
      <c r="B172" s="5">
        <v>4.6183828453417526</v>
      </c>
      <c r="C172" s="1">
        <v>41532</v>
      </c>
      <c r="D172">
        <f t="shared" si="6"/>
        <v>79.285390474385053</v>
      </c>
      <c r="E172">
        <f t="shared" si="7"/>
        <v>0.37774486897663656</v>
      </c>
      <c r="F172">
        <f t="shared" si="8"/>
        <v>0.45088940939071875</v>
      </c>
    </row>
    <row r="173" spans="1:6" ht="12.75" customHeight="1">
      <c r="A173" s="5">
        <v>81.8</v>
      </c>
      <c r="B173" s="5">
        <v>4.6214670993468454</v>
      </c>
      <c r="C173" s="1">
        <v>41828</v>
      </c>
      <c r="D173">
        <f t="shared" si="6"/>
        <v>79.322125380685122</v>
      </c>
      <c r="E173">
        <f t="shared" si="7"/>
        <v>6.1398626290448357</v>
      </c>
      <c r="F173">
        <f t="shared" si="8"/>
        <v>0.45504097023222539</v>
      </c>
    </row>
    <row r="174" spans="1:6" ht="12.75" customHeight="1">
      <c r="A174" s="3">
        <v>81.8</v>
      </c>
      <c r="B174" s="5">
        <v>4.6266277485240002</v>
      </c>
      <c r="C174" s="1">
        <v>42328</v>
      </c>
      <c r="D174">
        <f t="shared" si="6"/>
        <v>79.383591123667827</v>
      </c>
      <c r="E174">
        <f t="shared" si="7"/>
        <v>5.8390318576169005</v>
      </c>
      <c r="F174">
        <f t="shared" si="8"/>
        <v>0.46203001234471619</v>
      </c>
    </row>
    <row r="175" spans="1:6" ht="12.75" customHeight="1">
      <c r="A175" s="5">
        <v>80.599999999999994</v>
      </c>
      <c r="B175" s="5">
        <v>4.6279288452168483</v>
      </c>
      <c r="C175" s="1">
        <v>42455</v>
      </c>
      <c r="D175">
        <f t="shared" si="6"/>
        <v>79.399087793209361</v>
      </c>
      <c r="E175">
        <f t="shared" si="7"/>
        <v>1.4421901284187486</v>
      </c>
      <c r="F175">
        <f t="shared" si="8"/>
        <v>0.46380048863187501</v>
      </c>
    </row>
    <row r="176" spans="1:6" ht="12.75" customHeight="1">
      <c r="A176" s="3">
        <v>80.400000000000006</v>
      </c>
      <c r="B176" s="5">
        <v>4.6326091168609436</v>
      </c>
      <c r="C176" s="1">
        <v>42915</v>
      </c>
      <c r="D176">
        <f t="shared" si="6"/>
        <v>79.454832015319766</v>
      </c>
      <c r="E176">
        <f t="shared" si="7"/>
        <v>0.89334251926450492</v>
      </c>
      <c r="F176">
        <f t="shared" si="8"/>
        <v>0.47019719493938988</v>
      </c>
    </row>
    <row r="177" spans="1:6" ht="12.75" customHeight="1">
      <c r="A177" s="3">
        <v>80.8</v>
      </c>
      <c r="B177" s="5">
        <v>4.633791531273789</v>
      </c>
      <c r="C177" s="1">
        <v>43032</v>
      </c>
      <c r="D177">
        <f t="shared" si="6"/>
        <v>79.468915123452888</v>
      </c>
      <c r="E177">
        <f t="shared" si="7"/>
        <v>1.7717869485724331</v>
      </c>
      <c r="F177">
        <f t="shared" si="8"/>
        <v>0.47182017807713572</v>
      </c>
    </row>
    <row r="178" spans="1:6" ht="12.75" customHeight="1">
      <c r="A178" s="5">
        <v>75.5</v>
      </c>
      <c r="B178" s="5">
        <v>4.6743926213304103</v>
      </c>
      <c r="C178" s="1">
        <v>47249</v>
      </c>
      <c r="D178">
        <f t="shared" si="6"/>
        <v>79.952493076646206</v>
      </c>
      <c r="E178">
        <f t="shared" si="7"/>
        <v>19.8246945975824</v>
      </c>
      <c r="F178">
        <f t="shared" si="8"/>
        <v>0.52924572839176609</v>
      </c>
    </row>
    <row r="179" spans="1:6" ht="12.75" customHeight="1">
      <c r="A179" s="3">
        <v>83.378</v>
      </c>
      <c r="B179" s="5">
        <v>4.7027836879362717</v>
      </c>
      <c r="C179" s="1">
        <v>50441</v>
      </c>
      <c r="D179">
        <f t="shared" si="6"/>
        <v>80.290643945479815</v>
      </c>
      <c r="E179">
        <f t="shared" si="7"/>
        <v>9.5317674073824463</v>
      </c>
      <c r="F179">
        <f t="shared" si="8"/>
        <v>0.57136037235302783</v>
      </c>
    </row>
    <row r="180" spans="1:6" ht="12.75" customHeight="1">
      <c r="A180" s="5">
        <v>77.900000000000006</v>
      </c>
      <c r="B180" s="5">
        <v>4.7043993494928875</v>
      </c>
      <c r="C180" s="1">
        <v>50629</v>
      </c>
      <c r="D180">
        <f t="shared" si="6"/>
        <v>80.309887229527391</v>
      </c>
      <c r="E180">
        <f t="shared" si="7"/>
        <v>5.8075564590391755</v>
      </c>
      <c r="F180">
        <f t="shared" si="8"/>
        <v>0.57380548762297112</v>
      </c>
    </row>
    <row r="181" spans="1:6" ht="12.75" customHeight="1">
      <c r="A181" s="5">
        <v>78.900000000000006</v>
      </c>
      <c r="B181" s="5">
        <v>4.7065300309808533</v>
      </c>
      <c r="C181" s="1">
        <v>50878</v>
      </c>
      <c r="D181">
        <f t="shared" si="6"/>
        <v>80.335264641597377</v>
      </c>
      <c r="E181">
        <f t="shared" si="7"/>
        <v>2.0599845914196293</v>
      </c>
      <c r="F181">
        <f t="shared" si="8"/>
        <v>0.5770380077364422</v>
      </c>
    </row>
    <row r="182" spans="1:6" ht="12.75" customHeight="1">
      <c r="A182" s="5">
        <v>82.7</v>
      </c>
      <c r="B182" s="5">
        <v>4.7099988280251885</v>
      </c>
      <c r="C182" s="1">
        <v>51286</v>
      </c>
      <c r="D182">
        <f t="shared" si="6"/>
        <v>80.376579635170287</v>
      </c>
      <c r="E182">
        <f t="shared" si="7"/>
        <v>5.398282191705448</v>
      </c>
      <c r="F182">
        <f t="shared" si="8"/>
        <v>0.58232004612370925</v>
      </c>
    </row>
    <row r="183" spans="1:6" ht="12.75" customHeight="1">
      <c r="A183" s="5">
        <v>76.400000000000006</v>
      </c>
      <c r="B183" s="5">
        <v>4.7568186104821395</v>
      </c>
      <c r="C183" s="1">
        <v>57124</v>
      </c>
      <c r="D183">
        <f t="shared" si="6"/>
        <v>80.934225120498752</v>
      </c>
      <c r="E183">
        <f t="shared" si="7"/>
        <v>20.559197443361871</v>
      </c>
      <c r="F183">
        <f t="shared" si="8"/>
        <v>0.65596839418757658</v>
      </c>
    </row>
    <row r="184" spans="1:6" ht="12.75" customHeight="1">
      <c r="A184" s="5">
        <v>81.400000000000006</v>
      </c>
      <c r="B184" s="5">
        <v>4.7979873049251873</v>
      </c>
      <c r="C184" s="1">
        <v>62804</v>
      </c>
      <c r="D184">
        <f t="shared" si="6"/>
        <v>81.4245635071442</v>
      </c>
      <c r="E184">
        <f t="shared" si="7"/>
        <v>6.0336588322286292E-4</v>
      </c>
      <c r="F184">
        <f t="shared" si="8"/>
        <v>0.72434985131436735</v>
      </c>
    </row>
    <row r="185" spans="1:6" ht="12.75" customHeight="1">
      <c r="A185" s="3">
        <v>78.7</v>
      </c>
      <c r="B185" s="5">
        <v>4.8456250776769929</v>
      </c>
      <c r="C185" s="1">
        <v>70085</v>
      </c>
      <c r="D185">
        <f t="shared" si="6"/>
        <v>81.991951639085499</v>
      </c>
      <c r="E185">
        <f t="shared" si="7"/>
        <v>10.836945594077688</v>
      </c>
      <c r="F185">
        <f t="shared" si="8"/>
        <v>0.80770702998798949</v>
      </c>
    </row>
    <row r="186" spans="1:6" ht="12.75" customHeight="1">
      <c r="A186" s="5">
        <v>81.900000000000006</v>
      </c>
      <c r="B186" s="5">
        <v>4.8566322355153151</v>
      </c>
      <c r="C186" s="1">
        <v>71884</v>
      </c>
      <c r="D186">
        <f t="shared" si="6"/>
        <v>82.123052031969252</v>
      </c>
      <c r="E186">
        <f t="shared" si="7"/>
        <v>4.9752208965609515E-2</v>
      </c>
      <c r="F186">
        <f t="shared" si="8"/>
        <v>0.82761300832060503</v>
      </c>
    </row>
    <row r="187" spans="1:6" ht="12.75" customHeight="1">
      <c r="A187" s="5">
        <v>80.3</v>
      </c>
      <c r="B187" s="5">
        <v>4.9304854685214989</v>
      </c>
      <c r="C187" s="1">
        <v>85209</v>
      </c>
      <c r="D187">
        <f t="shared" si="6"/>
        <v>83.00267854455879</v>
      </c>
      <c r="E187">
        <f t="shared" si="7"/>
        <v>7.3044713152184375</v>
      </c>
      <c r="F187">
        <f t="shared" si="8"/>
        <v>0.96744066362692704</v>
      </c>
    </row>
    <row r="188" spans="1:6" ht="12.75" customHeight="1">
      <c r="A188" s="5">
        <v>81.099999999999994</v>
      </c>
      <c r="B188" s="5">
        <v>4.9378838289960409</v>
      </c>
      <c r="C188" s="1">
        <v>86673</v>
      </c>
      <c r="D188">
        <f t="shared" si="6"/>
        <v>83.090796474650716</v>
      </c>
      <c r="E188">
        <f t="shared" si="7"/>
        <v>3.963270603481742</v>
      </c>
      <c r="F188">
        <f t="shared" si="8"/>
        <v>0.98204924125130122</v>
      </c>
    </row>
    <row r="189" spans="1:6" ht="12.75" customHeight="1">
      <c r="A189" s="5">
        <v>80.400000000000006</v>
      </c>
      <c r="B189" s="5">
        <v>5.1016886601590192</v>
      </c>
      <c r="C189" s="1">
        <v>126383</v>
      </c>
      <c r="D189">
        <f t="shared" si="6"/>
        <v>85.04178855063941</v>
      </c>
      <c r="E189">
        <f t="shared" si="7"/>
        <v>21.546200948847062</v>
      </c>
      <c r="F189">
        <f t="shared" si="8"/>
        <v>1.3335371898044108</v>
      </c>
    </row>
    <row r="190" spans="1:6" ht="12.75" customHeight="1">
      <c r="A190" s="5">
        <v>81.8</v>
      </c>
      <c r="B190" s="5">
        <v>5.1251916394931927</v>
      </c>
      <c r="C190" s="1">
        <v>133411</v>
      </c>
      <c r="D190">
        <f t="shared" si="6"/>
        <v>85.321720016137363</v>
      </c>
      <c r="E190">
        <f t="shared" si="7"/>
        <v>12.402511872062565</v>
      </c>
      <c r="F190">
        <f t="shared" si="8"/>
        <v>1.3883715347955075</v>
      </c>
    </row>
  </sheetData>
  <sortState ref="A2:D190">
    <sortCondition ref="C2:C190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rsmith</dc:creator>
  <cp:lastModifiedBy>Krzysztof Bruszewski</cp:lastModifiedBy>
  <dcterms:created xsi:type="dcterms:W3CDTF">2015-02-03T16:07:38Z</dcterms:created>
  <dcterms:modified xsi:type="dcterms:W3CDTF">2016-04-23T18:40:04Z</dcterms:modified>
</cp:coreProperties>
</file>